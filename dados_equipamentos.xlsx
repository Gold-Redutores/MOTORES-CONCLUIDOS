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47778DD9-F19C-44DA-BC5C-2A36292FE1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<sst xmlns="http://schemas.openxmlformats.org/spreadsheetml/2006/main" count="863" uniqueCount="498">
  <si>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</si>
  <si>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</si>
  <si>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</si>
  <si>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</si>
  <si>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</si>
  <si>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</si>
  <si>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</si>
  <si>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</si>
  <si>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</si>
  <si>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</si>
  <si>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</si>
  <si>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</si>
  <si>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</si>
  <si>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</si>
  <si>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</si>
  <si>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</si>
  <si>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</si>
  <si>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</si>
  <si>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</si>
  <si>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</si>
  <si>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</si>
  <si>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</si>
  <si>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</si>
  <si>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</si>
  <si>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</si>
  <si>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</si>
  <si>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</si>
  <si>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</si>
  <si>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</si>
  <si>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</si>
  <si>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</si>
  <si>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</si>
  <si>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</si>
  <si>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</si>
  <si>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</si>
  <si>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</si>
  <si>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</si>
  <si>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</si>
  <si>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</si>
  <si>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</si>
  <si>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</si>
  <si>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</si>
  <si>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</si>
  <si>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</si>
  <si>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</si>
  <si>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</si>
  <si>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</si>
  <si>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</si>
  <si>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</si>
  <si>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</si>
  <si>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</si>
  <si>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</si>
  <si>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</si>
  <si>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</si>
  <si>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</si>
  <si>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</si>
  <si>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</si>
  <si>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</si>
  <si>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</si>
  <si>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</si>
  <si>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</si>
  <si>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</si>
  <si>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</si>
  <si>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</si>
  <si>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</si>
  <si>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</si>
  <si>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</si>
  <si>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</si>
  <si>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</si>
  <si>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</si>
  <si>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</si>
  <si>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</si>
  <si>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</si>
  <si>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</si>
  <si>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</si>
  <si>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</si>
  <si>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</si>
  <si>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</si>
  <si>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</si>
  <si>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</si>
  <si>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</si>
  <si>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</si>
  <si>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</si>
  <si>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</si>
  <si>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</si>
  <si>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</si>
  <si>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</si>
  <si>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</si>
  <si>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</si>
  <si>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</si>
  <si>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</si>
  <si>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</si>
  <si>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</si>
  <si>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</si>
  <si>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</si>
  <si>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</si>
  <si>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</si>
  <si>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</si>
  <si>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</si>
  <si>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</si>
  <si>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</si>
  <si>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</si>
  <si>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</si>
  <si>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</si>
  <si>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</si>
  <si>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</si>
  <si>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</si>
  <si>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</si>
  <si>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</si>
  <si>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</si>
  <si>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</si>
  <si>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</si>
  <si>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</si>
  <si>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</si>
  <si>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</si>
  <si>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</si>
  <si>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</si>
  <si>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</si>
  <si>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</si>
  <si>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</si>
  <si>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</si>
  <si>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</si>
  <si>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</si>
  <si>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</si>
  <si>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</si>
  <si>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</si>
  <si>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</si>
  <si>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</si>
  <si>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</si>
  <si>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</si>
  <si>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</si>
  <si>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</si>
  <si>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</si>
  <si>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</si>
  <si>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</si>
  <si>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</si>
  <si>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</si>
  <si>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</si>
  <si>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</si>
  <si>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</si>
  <si>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</si>
  <si>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</si>
  <si>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</si>
  <si>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</si>
  <si>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</si>
  <si>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</si>
  <si>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</si>
  <si>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</si>
  <si>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</si>
  <si>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</si>
  <si>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</si>
  <si>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</si>
  <si>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</si>
  <si>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</si>
  <si>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</si>
  <si>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</si>
  <si>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</si>
  <si>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</si>
  <si>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</si>
  <si>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</si>
  <si>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</si>
  <si>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</si>
  <si>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</si>
  <si>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</si>
  <si>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</si>
  <si>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</si>
  <si>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</si>
  <si>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</si>
  <si>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</si>
  <si>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</si>
  <si>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</si>
  <si>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</si>
  <si>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</si>
  <si>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</si>
  <si>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</si>
  <si>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</si>
  <si>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</si>
  <si>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</si>
  <si>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</si>
  <si>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</si>
  <si>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</si>
  <si>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</si>
  <si>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</si>
  <si>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</si>
  <si>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</si>
  <si>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</si>
  <si>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</si>
  <si>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</si>
  <si>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</si>
  <si>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</si>
  <si>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</si>
  <si>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</si>
  <si>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</si>
  <si>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</si>
  <si>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</si>
  <si>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</si>
  <si>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</si>
  <si>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</si>
  <si>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</si>
  <si>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</si>
  <si>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</si>
  <si>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</si>
  <si>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</si>
  <si>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</si>
  <si>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</si>
  <si>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</si>
  <si>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</si>
  <si>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</si>
  <si>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</si>
  <si>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</si>
  <si>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</si>
  <si>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</si>
  <si>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</si>
  <si>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</si>
  <si>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</si>
  <si>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</si>
  <si>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</si>
  <si>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</si>
  <si>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</si>
  <si>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</si>
  <si>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</si>
  <si>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</si>
  <si>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</si>
  <si>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</si>
  <si>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</si>
  <si>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</si>
  <si>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</si>
  <si>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</si>
  <si>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</si>
  <si>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</si>
  <si>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</si>
  <si>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</si>
  <si>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</si>
  <si>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</si>
  <si>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</si>
  <si>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</si>
  <si>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</si>
  <si>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</si>
  <si>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</si>
  <si>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</si>
  <si>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</si>
  <si>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</si>
  <si>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</si>
  <si>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</si>
  <si>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</si>
  <si>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</si>
  <si>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</si>
  <si>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</si>
  <si>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</si>
  <si>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</si>
  <si>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</si>
  <si>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</si>
  <si>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</si>
  <si>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</si>
  <si>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</si>
  <si>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</si>
  <si>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</si>
  <si>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</si>
  <si>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</si>
  <si>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</si>
  <si>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</si>
  <si>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</si>
  <si>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</si>
  <si>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</si>
  <si>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</si>
  <si>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</si>
  <si>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</si>
  <si>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</si>
  <si>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</si>
  <si>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</si>
  <si>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</si>
  <si>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</si>
  <si>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</si>
  <si>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</si>
  <si>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</si>
  <si>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</si>
  <si>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</si>
  <si>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</si>
  <si>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</si>
  <si>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</si>
  <si>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</si>
  <si>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</si>
  <si>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</si>
  <si>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</si>
  <si>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</si>
  <si>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</si>
  <si>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</si>
  <si>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</si>
  <si>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</si>
  <si>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</si>
  <si>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</si>
  <si>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</si>
  <si>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</si>
  <si>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</si>
  <si>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</si>
  <si>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</si>
  <si>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</si>
  <si>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</si>
  <si>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</si>
  <si>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</si>
  <si>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</si>
  <si>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</si>
  <si>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</si>
  <si>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</si>
  <si>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</si>
  <si>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</si>
  <si>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</si>
  <si>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</si>
  <si>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</si>
  <si>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</si>
  <si>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</si>
  <si>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</si>
  <si>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</si>
  <si>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</si>
  <si>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</si>
  <si>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</si>
  <si>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</si>
  <si>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</si>
  <si>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</si>
  <si>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</si>
  <si>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</si>
  <si>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</si>
  <si>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</si>
  <si>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</si>
  <si>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</si>
  <si>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</si>
  <si>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</si>
  <si>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</si>
  <si>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</si>
  <si>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</si>
  <si>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</si>
  <si>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</si>
  <si>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</si>
  <si>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</si>
  <si>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</si>
  <si>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</si>
  <si>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</si>
  <si>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</si>
  <si>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</si>
  <si>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</si>
  <si>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</si>
  <si>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</si>
  <si>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</si>
  <si>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</si>
  <si>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</si>
  <si>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</si>
  <si>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</si>
  <si>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</si>
  <si>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</si>
  <si>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</si>
  <si>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</si>
  <si>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</si>
  <si>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</si>
  <si>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</si>
  <si>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</si>
  <si>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</si>
  <si>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</si>
  <si>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</si>
  <si>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</si>
  <si>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</si>
  <si>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</si>
  <si>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</si>
  <si>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</si>
  <si>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</si>
  <si>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</si>
  <si>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</si>
  <si>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</si>
  <si>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</si>
  <si>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</si>
  <si>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</si>
  <si>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</si>
  <si>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</si>
  <si>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</si>
  <si>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</si>
  <si>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</si>
  <si>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</si>
  <si>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</si>
  <si>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</si>
  <si>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</si>
  <si>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</si>
  <si>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</si>
  <si>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</si>
  <si>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</si>
  <si>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</si>
  <si>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</si>
  <si>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</si>
  <si>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</si>
  <si>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</si>
  <si>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</si>
  <si>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</si>
  <si>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</si>
  <si>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</si>
  <si>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</si>
  <si>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</si>
  <si>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</si>
  <si>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</si>
  <si>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</si>
  <si>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</si>
  <si>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</si>
  <si>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</si>
  <si>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</si>
  <si>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</si>
  <si>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</si>
  <si>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</si>
  <si>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</si>
  <si>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</si>
  <si>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</si>
  <si>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</si>
  <si>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</si>
  <si>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</si>
  <si>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</si>
  <si>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</si>
  <si>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</si>
  <si>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</si>
  <si>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</si>
  <si>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</si>
  <si>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</si>
  <si>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</si>
  <si>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</si>
  <si>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</si>
  <si>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</si>
  <si>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</si>
  <si>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</si>
  <si>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</si>
  <si>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</si>
  <si>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</si>
  <si>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</si>
  <si>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</si>
  <si>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</si>
  <si>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</si>
  <si>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</si>
  <si>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</si>
  <si>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</si>
  <si>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</si>
  <si>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</si>
  <si>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</si>
  <si>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</si>
  <si>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</si>
  <si>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</si>
  <si>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</si>
  <si>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</si>
  <si>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</si>
  <si>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</si>
  <si>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</si>
  <si>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</si>
  <si>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</si>
  <si>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</si>
  <si>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</si>
  <si>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</si>
  <si>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</si>
  <si>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</si>
  <si>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</si>
  <si>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</si>
  <si>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</si>
  <si>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</si>
  <si>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</si>
  <si>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</si>
  <si>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</si>
  <si>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</si>
  <si>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</si>
  <si>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</si>
  <si>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</si>
  <si>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</si>
  <si>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</si>
  <si>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</si>
  <si>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</si>
  <si>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</si>
  <si>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</si>
  <si>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</si>
  <si>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</si>
  <si>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</si>
  <si>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</si>
  <si>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</si>
  <si>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</si>
  <si>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</si>
  <si>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</si>
  <si>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</si>
  <si>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</si>
  <si>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</si>
  <si>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</si>
  <si>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</si>
  <si>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</si>
  <si>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</si>
  <si>
    <t>OS 6217 - 7596730</t>
  </si>
  <si>
    <t>GEREMIA</t>
  </si>
  <si>
    <t>CLAUDIO JOSE</t>
  </si>
  <si>
    <t>MR6D 60</t>
  </si>
  <si>
    <t>OS 5779 - 3294400</t>
  </si>
  <si>
    <t>Ativos/img/OS6217.jpg</t>
  </si>
  <si>
    <t>Ativos/img/OS5779.jpg</t>
  </si>
  <si>
    <t>Ativos/pdf/OS6370LP</t>
  </si>
  <si>
    <t>Ativos/pdf/OS6217LP</t>
  </si>
  <si>
    <t>Ativos/pdf/OS6370FA</t>
  </si>
  <si>
    <t>Ativos/pdf/OS6217FA</t>
  </si>
  <si>
    <t>Ativos/pdf/OS5779FA</t>
  </si>
  <si>
    <t>Ativos/pdf/OS6217RT</t>
  </si>
  <si>
    <t>SUPERGASBRAS</t>
  </si>
  <si>
    <t>OS 6175 - 7596731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</si>
</sst>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5" headerRowDxfId="25" dataDxfId="24" totalsRowDxfId="23">
  <autoFilter ref="A1:R75" xr:uid="{00000000-0009-0000-0100-000001000000}"/>
  <tableColumns count="18">
    <tableColumn id="1" xr3:uid="{00000000-0010-0000-0000-000001000000}" name="TAG" dataDxfId="22"/>
    <tableColumn id="19" xr3:uid="{00000000-0010-0000-0000-000013000000}" name="Fabricante" dataDxfId="21"/>
    <tableColumn id="2" xr3:uid="{00000000-0010-0000-0000-000002000000}" name="Tipo" dataDxfId="20">
      <calculatedColumnFormula>CONCATENATE("MOTOREDUTOR"," ",TabelaEquipamentos[[#This Row],[Fabricante]])</calculatedColumnFormula>
    </tableColumn>
    <tableColumn id="3" xr3:uid="{00000000-0010-0000-0000-000003000000}" name="Modelo" dataDxfId="19"/>
    <tableColumn id="4" xr3:uid="{00000000-0010-0000-0000-000004000000}" name="Potencia" dataDxfId="18"/>
    <tableColumn id="5" xr3:uid="{00000000-0010-0000-0000-000005000000}" name="Relacao" dataDxfId="17"/>
    <tableColumn id="6" xr3:uid="{00000000-0010-0000-0000-000006000000}" name="RPM" dataDxfId="16"/>
    <tableColumn id="7" xr3:uid="{00000000-0010-0000-0000-000007000000}" name="Rolamentos" dataDxfId="15"/>
    <tableColumn id="8" xr3:uid="{00000000-0010-0000-0000-000008000000}" name="Lubrificante" dataDxfId="14"/>
    <tableColumn id="9" xr3:uid="{00000000-0010-0000-0000-000009000000}" name="Quantidade_Oleo" dataDxfId="13"/>
    <tableColumn id="10" xr3:uid="{00000000-0010-0000-0000-00000A000000}" name="Cliente" dataDxfId="12"/>
    <tableColumn id="11" xr3:uid="{00000000-0010-0000-0000-00000B000000}" name="Foto" dataDxfId="11"/>
    <tableColumn id="12" xr3:uid="{00000000-0010-0000-0000-00000C000000}" name="Lista_Pecas" dataDxfId="10"/>
    <tableColumn id="13" xr3:uid="{00000000-0010-0000-0000-00000D000000}" name="Manual" dataDxfId="9"/>
    <tableColumn id="14" xr3:uid="{00000000-0010-0000-0000-00000E000000}" name="RELATORIO FINAL" dataDxfId="8"/>
    <tableColumn id="15" xr3:uid="{00000000-0010-0000-0000-00000F000000}" name="Fotos_Adicionais" dataDxfId="7"/>
    <tableColumn id="16" xr3:uid="{00000000-0010-0000-0000-000010000000}" name="Observacoes" dataDxfId="6"/>
    <tableColumn id="17" xr3:uid="{00000000-0010-0000-0000-000011000000}" name="TAG Nº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G70" activePane="bottomRight" state="frozen"/>
      <selection pane="topRight" activeCell="F1" sqref="F1"/>
      <selection pane="bottomLeft" activeCell="A2" sqref="A2"/>
      <selection pane="bottomRight" activeCell="D75" sqref="D75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27.6">
      <c r="A72" s="4" t="s">
        <v>471</v>
      </c>
      <c r="B72" s="9"/>
      <c r="C72" s="6"/>
      <c r="D72" s="6"/>
      <c r="E72" s="6"/>
      <c r="F72" s="6"/>
      <c r="G72" s="6"/>
      <c r="H72" s="6"/>
      <c r="I72" s="6" t="s">
        <v>472</v>
      </c>
      <c r="J72" s="6"/>
      <c r="K72" s="6" t="s">
        <v>130</v>
      </c>
      <c r="L72" s="3" t="s">
        <v>476</v>
      </c>
      <c r="M72" s="3" t="s">
        <v>490</v>
      </c>
      <c r="N72" s="6"/>
      <c r="O72" s="6"/>
      <c r="P72" s="3" t="s">
        <v>492</v>
      </c>
      <c r="Q72" s="6"/>
    </row>
    <row r="73" spans="1:18" s="3" customFormat="1" ht="27.6">
      <c r="A73" s="4" t="s">
        <v>483</v>
      </c>
      <c r="B73" s="8" t="s">
        <v>484</v>
      </c>
      <c r="C73" s="3" t="str">
        <f>CONCATENATE("MOTOREDUTOR"," ",TabelaEquipamentos[[#This Row],[Fabricante]])</f>
        <v>MOTOREDUTOR GEREMIA</v>
      </c>
      <c r="D73" s="3" t="s">
        <v>486</v>
      </c>
      <c r="F73" s="3">
        <v>220</v>
      </c>
      <c r="K73" s="3" t="s">
        <v>485</v>
      </c>
      <c r="L73" s="3" t="s">
        <v>488</v>
      </c>
      <c r="M73" s="3" t="s">
        <v>491</v>
      </c>
      <c r="O73" s="3" t="s">
        <v>495</v>
      </c>
      <c r="P73" s="3" t="s">
        <v>493</v>
      </c>
    </row>
    <row r="74" spans="1:18" s="6" customFormat="1" ht="69">
      <c r="A74" s="4" t="s">
        <v>487</v>
      </c>
      <c r="B74" s="9" t="s">
        <v>19</v>
      </c>
      <c r="C74" s="6" t="s">
        <v>20</v>
      </c>
      <c r="D74" s="6" t="s">
        <v>287</v>
      </c>
      <c r="E74" s="6" t="s">
        <v>288</v>
      </c>
      <c r="F74" s="6" t="s">
        <v>41</v>
      </c>
      <c r="G74" s="6">
        <v>3470</v>
      </c>
      <c r="H74" s="6" t="s">
        <v>59</v>
      </c>
      <c r="I74" s="6" t="s">
        <v>124</v>
      </c>
      <c r="K74" s="6" t="s">
        <v>233</v>
      </c>
      <c r="L74" s="3" t="s">
        <v>489</v>
      </c>
      <c r="P74" s="3" t="s">
        <v>494</v>
      </c>
    </row>
    <row r="75" spans="1:18" s="3" customFormat="1" ht="27.6">
      <c r="A75" s="4" t="s">
        <v>497</v>
      </c>
      <c r="B75" s="8" t="s">
        <v>19</v>
      </c>
      <c r="C75" s="3" t="s">
        <v>20</v>
      </c>
      <c r="K75" s="3" t="s">
        <v>496</v>
      </c>
    </row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4" priority="14"/>
  </conditionalFormatting>
  <conditionalFormatting sqref="R1">
    <cfRule type="duplicateValues" dxfId="3" priority="15"/>
  </conditionalFormatting>
  <conditionalFormatting sqref="R2:R75">
    <cfRule type="duplicateValues" dxfId="2" priority="26"/>
  </conditionalFormatting>
  <conditionalFormatting sqref="R72">
    <cfRule type="duplicateValues" dxfId="1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2026-10-29T19:56:41Z</dcterms:modified>
</cp:coreProperties>
</file>