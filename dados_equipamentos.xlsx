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P:\PAGINAS WEB\MOTORES\"/>
    </mc:Choice>
  </mc:AlternateContent>
  <xr:revisionPtr revIDLastSave="0" documentId="13_ncr:1_{B44F5D34-5961-4998-8B95-974611A0AF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quipamentos" sheetId="1" r:id="rId1"/>
    <sheet name="Instrucoes" sheetId="2" r:id="rId2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3" i="1" l="1"/>
</calcChain>
</file>

<file path=xl/sharedStrings.xml><?xml version="1.0" encoding="utf-8"?>
<sst xmlns="http://schemas.openxmlformats.org/spreadsheetml/2006/main" count="869" uniqueCount="504">
  <si>
    <t>TAG</t>
  </si>
  <si>
    <t>Fabricante</t>
  </si>
  <si>
    <t>Tipo</t>
  </si>
  <si>
    <t>Modelo</t>
  </si>
  <si>
    <t>Potencia</t>
  </si>
  <si>
    <t>Relacao</t>
  </si>
  <si>
    <t>RPM</t>
  </si>
  <si>
    <t>Rolamentos</t>
  </si>
  <si>
    <t>Lubrificante</t>
  </si>
  <si>
    <t>Quantidade_Oleo</t>
  </si>
  <si>
    <t>Cliente</t>
  </si>
  <si>
    <t>Foto</t>
  </si>
  <si>
    <t>Lista_Pecas</t>
  </si>
  <si>
    <t>Manual</t>
  </si>
  <si>
    <t>RELATORIO FINAL</t>
  </si>
  <si>
    <t>Fotos_Adicionais</t>
  </si>
  <si>
    <t>Observacoes</t>
  </si>
  <si>
    <t>TAG Nº</t>
  </si>
  <si>
    <t>OS 5684 - 2394460</t>
  </si>
  <si>
    <t>WEG</t>
  </si>
  <si>
    <t>EXD</t>
  </si>
  <si>
    <t>160L</t>
  </si>
  <si>
    <t>MOTOR 25 CV 3F 4 POLOS</t>
  </si>
  <si>
    <t>380/660</t>
  </si>
  <si>
    <t>6309/6209</t>
  </si>
  <si>
    <t>161KG</t>
  </si>
  <si>
    <t>COFCO INTERNATIONAL BRASIL S.A.</t>
  </si>
  <si>
    <t>Ativos/img/OS5684.jpg</t>
  </si>
  <si>
    <t>Ativos/pdf/OS5684LP</t>
  </si>
  <si>
    <t>Ativos/pdf/OS5684FA</t>
  </si>
  <si>
    <t>OS 5641 - 891527</t>
  </si>
  <si>
    <t>132S</t>
  </si>
  <si>
    <t>MOTOR 7.5 CV 3F 2 POLOS</t>
  </si>
  <si>
    <t>6308/6207</t>
  </si>
  <si>
    <t>78KG</t>
  </si>
  <si>
    <t>Ativos/img/OS5641.jpg</t>
  </si>
  <si>
    <t>Ativos/pdf/OS5641LP</t>
  </si>
  <si>
    <t>Ativos/pdf/OS5641FA</t>
  </si>
  <si>
    <t>OS 5701 - 3294440</t>
  </si>
  <si>
    <t>180M</t>
  </si>
  <si>
    <t>MOTOR 30 CV 3F 2 POLOS</t>
  </si>
  <si>
    <t>220/380</t>
  </si>
  <si>
    <t>6311/6211</t>
  </si>
  <si>
    <t>193KG</t>
  </si>
  <si>
    <t>Ativos/img/OS5701.jpg</t>
  </si>
  <si>
    <t>Ativos/pdf/OS5701LP</t>
  </si>
  <si>
    <t>Ativos/pdf/OS5701FA</t>
  </si>
  <si>
    <t>OS 5715 - 3294412</t>
  </si>
  <si>
    <t>225S/M</t>
  </si>
  <si>
    <t>MOTOR 60 CV 3F 4 POLOS</t>
  </si>
  <si>
    <t>220/380/440</t>
  </si>
  <si>
    <t>6314/6314</t>
  </si>
  <si>
    <t>389KG</t>
  </si>
  <si>
    <t>Ativos/img/OS5715.jpg</t>
  </si>
  <si>
    <t>Ativos/pdf/OS5715LP</t>
  </si>
  <si>
    <t>Ativos/pdf/OS5715FA</t>
  </si>
  <si>
    <t>OS 5740 - 3294401</t>
  </si>
  <si>
    <t>90S</t>
  </si>
  <si>
    <t>MOTOR 2 CV 3F 2 POLOS</t>
  </si>
  <si>
    <t>6205/6204</t>
  </si>
  <si>
    <t>30KG</t>
  </si>
  <si>
    <t>Ativos/img/OS5740.jpg</t>
  </si>
  <si>
    <t>Ativos/pdf/OS5740LP</t>
  </si>
  <si>
    <t>Ativos/pdf/OS5740FA</t>
  </si>
  <si>
    <t>OS 5790 - 3294495</t>
  </si>
  <si>
    <t>MOTOR 7.5 CV 3F 4 POLOS</t>
  </si>
  <si>
    <t>83KG</t>
  </si>
  <si>
    <t>Ativos/img/OS5790.jpg</t>
  </si>
  <si>
    <t>Ativos/pdf/OS5790LP</t>
  </si>
  <si>
    <t>Ativos/pdf/OS5790FA</t>
  </si>
  <si>
    <t>OS 5628 - 891507</t>
  </si>
  <si>
    <t>160M</t>
  </si>
  <si>
    <t>MOTOR 20 CV 3F 4 POLOS</t>
  </si>
  <si>
    <t>146KG</t>
  </si>
  <si>
    <t>Ativos/img/OS5628.jpg</t>
  </si>
  <si>
    <t>Ativos/pdf/OS5628LP</t>
  </si>
  <si>
    <t>Ativos/pdf/OS5628FA</t>
  </si>
  <si>
    <t>OS 5742 - 3294496</t>
  </si>
  <si>
    <t>112M</t>
  </si>
  <si>
    <t>MOTOR 5 CV 3F 4 POLOS</t>
  </si>
  <si>
    <t>6307/6206</t>
  </si>
  <si>
    <t>58KG</t>
  </si>
  <si>
    <t>Ativos/img/OS5742.jpg</t>
  </si>
  <si>
    <t>Ativos/pdf/OS5742LP</t>
  </si>
  <si>
    <t>Ativos/pdf/OS5742FA</t>
  </si>
  <si>
    <t>OS 5604 - 891572</t>
  </si>
  <si>
    <t>180L</t>
  </si>
  <si>
    <t>MOTOR 25 CV 3F 6 POLOS</t>
  </si>
  <si>
    <t>214KG</t>
  </si>
  <si>
    <t>Ativos/img/OS5604.jpg</t>
  </si>
  <si>
    <t>Ativos/pdf/OS5604LP</t>
  </si>
  <si>
    <t>Ativos/pdf/OS5604FA</t>
  </si>
  <si>
    <t>OS 5718 - 3294480</t>
  </si>
  <si>
    <t>MOTOR 15 CV 3F 2 POLOS</t>
  </si>
  <si>
    <t>151KG</t>
  </si>
  <si>
    <t>Ativos/img/OS5718.jpg</t>
  </si>
  <si>
    <t>Ativos/pdf/OS5718LP</t>
  </si>
  <si>
    <t>Ativos/pdf/OS5718FA</t>
  </si>
  <si>
    <t>OS 5666 - 891562</t>
  </si>
  <si>
    <t>MOTOR 0.5 CV 3F 4 POLOS</t>
  </si>
  <si>
    <t>28KG</t>
  </si>
  <si>
    <t>Ativos/img/OS5666.jpg</t>
  </si>
  <si>
    <t>Ativos/pdf/OS5666LP</t>
  </si>
  <si>
    <t>Ativos/pdf/OS5666FA</t>
  </si>
  <si>
    <t>OS 5681 - 891574</t>
  </si>
  <si>
    <t>132M</t>
  </si>
  <si>
    <t>MOTOR 12.5 CV 3F 2 POLOS</t>
  </si>
  <si>
    <t>85KG</t>
  </si>
  <si>
    <t>Ativos/img/OS5681.jpg</t>
  </si>
  <si>
    <t>Ativos/pdf/OS5681LP</t>
  </si>
  <si>
    <t>Ativos/pdf/OS5681FA</t>
  </si>
  <si>
    <t>OS 5792 - 3294403</t>
  </si>
  <si>
    <t>SEW</t>
  </si>
  <si>
    <t>DRS71M4</t>
  </si>
  <si>
    <t>71M4</t>
  </si>
  <si>
    <t>MOTOR 0.75 CV 3F 4 POLOS</t>
  </si>
  <si>
    <t>6303/6203</t>
  </si>
  <si>
    <t>Ativos/img/OS5792.jpg</t>
  </si>
  <si>
    <t>Ativos/pdf/OS5792LP</t>
  </si>
  <si>
    <t>Ativos/pdf/OS5792FA</t>
  </si>
  <si>
    <t>OS 5615 - 891521</t>
  </si>
  <si>
    <t>100L</t>
  </si>
  <si>
    <t>MOTOR 5 CV 3F 2 POLOS</t>
  </si>
  <si>
    <t>6206/6205</t>
  </si>
  <si>
    <t>42KG</t>
  </si>
  <si>
    <t>Ativos/img/OS5615.jpg</t>
  </si>
  <si>
    <t>Ativos/pdf/OS5615LP</t>
  </si>
  <si>
    <t>Ativos/pdf/OS5615FA</t>
  </si>
  <si>
    <t>OS 6268 - 7596788</t>
  </si>
  <si>
    <t>92KG</t>
  </si>
  <si>
    <t>ADM DO BRASIL LTDA</t>
  </si>
  <si>
    <t>Ativos/img/OS6268.jpg</t>
  </si>
  <si>
    <t>Ativos/pdf/OS6268LP</t>
  </si>
  <si>
    <t>Ativos/pdf/OS6268FA</t>
  </si>
  <si>
    <t>OS 5454 - 3435790</t>
  </si>
  <si>
    <t>COMUM</t>
  </si>
  <si>
    <t>MOTOR TRIFÁSICO 5 CV 4 POLOS</t>
  </si>
  <si>
    <t>5208/6206</t>
  </si>
  <si>
    <t>52KG</t>
  </si>
  <si>
    <t>Ativos/img/OS5454.jpg</t>
  </si>
  <si>
    <t>Ativos/pdf/OS5454LP</t>
  </si>
  <si>
    <t>Ativos/pdf/OS5454FA</t>
  </si>
  <si>
    <t>OS 5400 - 3436043</t>
  </si>
  <si>
    <t>100M4</t>
  </si>
  <si>
    <t>MOTOR 4 CV 3F 4 POLOS</t>
  </si>
  <si>
    <t>6306/6205</t>
  </si>
  <si>
    <t>43KG</t>
  </si>
  <si>
    <t>Ativos/img/OS5400.jpg</t>
  </si>
  <si>
    <t>Ativos/pdf/OS5400LP</t>
  </si>
  <si>
    <t>Ativos/pdf/OS5400FA</t>
  </si>
  <si>
    <t>OS 5721 - 3294408</t>
  </si>
  <si>
    <t>MOTOR 3 CV 3F 6 POLOS</t>
  </si>
  <si>
    <t>61KG</t>
  </si>
  <si>
    <t>Ativos/img/OS5721.jpg</t>
  </si>
  <si>
    <t>Ativos/pdf/OS5721LP</t>
  </si>
  <si>
    <t>Ativos/pdf/OS5721FA</t>
  </si>
  <si>
    <t>OS 5630 - 891509</t>
  </si>
  <si>
    <t>132S/M</t>
  </si>
  <si>
    <t>113KG</t>
  </si>
  <si>
    <t>Ativos/img/OS5630.jpg</t>
  </si>
  <si>
    <t>Ativos/pdf/OS5630LP</t>
  </si>
  <si>
    <t>Ativos/pdf/OS5630FA</t>
  </si>
  <si>
    <t>OS 5704 - 3294469</t>
  </si>
  <si>
    <t>200L</t>
  </si>
  <si>
    <t>MOTOR 40 CV 3F 4 POLOS</t>
  </si>
  <si>
    <t>6312/6212</t>
  </si>
  <si>
    <t>297KG</t>
  </si>
  <si>
    <t>Ativos/img/OS5704.jpg</t>
  </si>
  <si>
    <t>Ativos/pdf/OS5704LP</t>
  </si>
  <si>
    <t>Ativos/pdf/OS5704FA</t>
  </si>
  <si>
    <t>OS 5743 - 3294423</t>
  </si>
  <si>
    <t>279KG</t>
  </si>
  <si>
    <t>Ativos/img/OS5743.jpg</t>
  </si>
  <si>
    <t>Ativos/pdf/OS5743LP</t>
  </si>
  <si>
    <t>Ativos/pdf/OS5743FA</t>
  </si>
  <si>
    <t>OS 5607 - 891589</t>
  </si>
  <si>
    <t>180M/L</t>
  </si>
  <si>
    <t>MOTOR 30 CV 3F 4 POLOS</t>
  </si>
  <si>
    <t>6311/6309</t>
  </si>
  <si>
    <t>264KG</t>
  </si>
  <si>
    <t>Ativos/img/OS5607.jpg</t>
  </si>
  <si>
    <t>Ativos/pdf/OS5607LP</t>
  </si>
  <si>
    <t>Ativos/pdf/OS5607FA</t>
  </si>
  <si>
    <t>OS 6238 - 7596771</t>
  </si>
  <si>
    <t>CARGILL AGRICOLA S.A</t>
  </si>
  <si>
    <t>Ativos/img/OS6238.jpg</t>
  </si>
  <si>
    <t>Ativos/pdf/OS6238LP</t>
  </si>
  <si>
    <t>Ativos/pdf/OS6238FA</t>
  </si>
  <si>
    <t>OS 6066 - 7597328</t>
  </si>
  <si>
    <t>MOTOR 15 CV 4 POLOS</t>
  </si>
  <si>
    <t>Ativos/img/OS6066.jpg</t>
  </si>
  <si>
    <t>Ativos/pdf/OS6066LP</t>
  </si>
  <si>
    <t>Ativos/pdf/OS6066FA</t>
  </si>
  <si>
    <t>OS 6232 - 7596765</t>
  </si>
  <si>
    <t>MOTOR 20CV 3F 4 POLOS</t>
  </si>
  <si>
    <t>111KG</t>
  </si>
  <si>
    <t>Ativos/img/OS6232.jpg</t>
  </si>
  <si>
    <t>Ativos/pdf/OS6232LP</t>
  </si>
  <si>
    <t>Ativos/pdf/OS6232FA</t>
  </si>
  <si>
    <t>OS 5411 - 3435772</t>
  </si>
  <si>
    <t>MOTOR 10 CV 3F 4 POLOS</t>
  </si>
  <si>
    <t>Ativos/img/OS5411.jpg</t>
  </si>
  <si>
    <t>Ativos/pdf/OS5411LP</t>
  </si>
  <si>
    <t>Ativos/pdf/OS5411FA</t>
  </si>
  <si>
    <t>OS 5669 - 891526</t>
  </si>
  <si>
    <t>32KG</t>
  </si>
  <si>
    <t>Ativos/img/OS5669.jpg</t>
  </si>
  <si>
    <t>Ativos/pdf/OS5669LP</t>
  </si>
  <si>
    <t>Ativos/pdf/OS5669FA</t>
  </si>
  <si>
    <t>OS 5653 - 891508</t>
  </si>
  <si>
    <t>MOTOR 3 CV 3F 4 POLOS</t>
  </si>
  <si>
    <t>44KG</t>
  </si>
  <si>
    <t>Ativos/img/OS5653.jpg</t>
  </si>
  <si>
    <t>Ativos/pdf/OS5653LP</t>
  </si>
  <si>
    <t>Ativos/pdf/OS5653FA</t>
  </si>
  <si>
    <t>OS 5636 - 891547</t>
  </si>
  <si>
    <t>MOTOR 10 CV 3F 2 POLOS</t>
  </si>
  <si>
    <t>Ativos/img/OS5636.jpg</t>
  </si>
  <si>
    <t>Ativos/pdf/OS5636LP</t>
  </si>
  <si>
    <t>Ativos/pdf/OS5636FA</t>
  </si>
  <si>
    <t>OS 6144 - 4390688</t>
  </si>
  <si>
    <t>L90S</t>
  </si>
  <si>
    <t>MOTOR 2 CV 3F 4 POLOS</t>
  </si>
  <si>
    <t>23KG</t>
  </si>
  <si>
    <t>Ativos/img/OS6144.jpg</t>
  </si>
  <si>
    <t>Ativos/pdf/OS6144LP</t>
  </si>
  <si>
    <t>Ativos/pdf/OS6144FA</t>
  </si>
  <si>
    <t>OS 5674 - 3294421</t>
  </si>
  <si>
    <t>Ativos/img/OS5674.jpg</t>
  </si>
  <si>
    <t>Ativos/pdf/OS5674LP</t>
  </si>
  <si>
    <t>Ativos/pdf/OS5674FA</t>
  </si>
  <si>
    <t>OS 5846 - 4821390</t>
  </si>
  <si>
    <t>MOTOR 30 CV 3F 6 POLOS</t>
  </si>
  <si>
    <t>OLEOPLAN RONDONIA INDUSTRIA DE BIOCOMBUSTIVEL LTDA</t>
  </si>
  <si>
    <t>Ativos/img/OS5846.jpg</t>
  </si>
  <si>
    <t>Ativos/pdf/OS5846LP</t>
  </si>
  <si>
    <t>Ativos/pdf/OS5846FA</t>
  </si>
  <si>
    <t>OS 5891 - 4390564</t>
  </si>
  <si>
    <t>160M/L</t>
  </si>
  <si>
    <t>MOTOR 20 CV 3F 6 POLOS</t>
  </si>
  <si>
    <t>6309/6308</t>
  </si>
  <si>
    <t>206KG</t>
  </si>
  <si>
    <t>DUAL DUARTE ALBUQUERQUE COM. E IND. LTDA</t>
  </si>
  <si>
    <t>Ativos/img/OS5891.jpg</t>
  </si>
  <si>
    <t>Ativos/pdf/OS5891LP</t>
  </si>
  <si>
    <t>Ativos/pdf/OS5891FA</t>
  </si>
  <si>
    <t>OS 6163 - 7597387</t>
  </si>
  <si>
    <t>MOTOR 12.50 CV 3F 4 POLOS</t>
  </si>
  <si>
    <t>116KG</t>
  </si>
  <si>
    <t>BUNGE ALIMENTOS S/A</t>
  </si>
  <si>
    <t>Ativos/img/OS6163.jpg</t>
  </si>
  <si>
    <t>Ativos/pdf/OS6163LP</t>
  </si>
  <si>
    <t>Ativos/pdf/OS6163FA</t>
  </si>
  <si>
    <t>OS 5223 - 3294550</t>
  </si>
  <si>
    <t>EXT</t>
  </si>
  <si>
    <t>MOTOR 50 CV 3F 4 POLOS</t>
  </si>
  <si>
    <t>249KG</t>
  </si>
  <si>
    <t>RUMO MALHA NORTE S.A</t>
  </si>
  <si>
    <t>Ativos/img/OS5223.jpg</t>
  </si>
  <si>
    <t>Ativos/pdf/OS5223LP</t>
  </si>
  <si>
    <t>Ativos/pdf/OS5223FA</t>
  </si>
  <si>
    <t>OS 5774 - 3294438</t>
  </si>
  <si>
    <t>80S4</t>
  </si>
  <si>
    <t>MOTOR 1 CV 3F 4 POLOS</t>
  </si>
  <si>
    <t>6304/6304</t>
  </si>
  <si>
    <t>15KG</t>
  </si>
  <si>
    <t>Ativos/img/OS5774.jpg</t>
  </si>
  <si>
    <t>Ativos/pdf/OS5774LP</t>
  </si>
  <si>
    <t>Ativos/pdf/OS5774FA</t>
  </si>
  <si>
    <t>OS 5391 - 3436065</t>
  </si>
  <si>
    <t>80MP4</t>
  </si>
  <si>
    <t>MOTOR 1.5 CV 3F 4 POLOS</t>
  </si>
  <si>
    <t>1735/40</t>
  </si>
  <si>
    <t>30.947KG</t>
  </si>
  <si>
    <t>Ativos/img/OS5391.jpg</t>
  </si>
  <si>
    <t>Ativos/pdf/OS5391LP</t>
  </si>
  <si>
    <t>Ativos/pdf/OS5391FA</t>
  </si>
  <si>
    <t>OS 5397 - 3436002</t>
  </si>
  <si>
    <t>MOTOR 2 CV 3F 6 POLOS</t>
  </si>
  <si>
    <t>Ativos/img/OS5397.jpg</t>
  </si>
  <si>
    <t>Ativos/pdf/OS5397LP</t>
  </si>
  <si>
    <t>Ativos/pdf/OS5397FA</t>
  </si>
  <si>
    <t>OS 5225 - 3294505</t>
  </si>
  <si>
    <t>149KG</t>
  </si>
  <si>
    <t>Ativos/pdf/OS5225LP</t>
  </si>
  <si>
    <t>Ativos/pdf/OS5225FA</t>
  </si>
  <si>
    <t>OS 5848 - 4821325</t>
  </si>
  <si>
    <t>90S/L</t>
  </si>
  <si>
    <t>MOTOR 3 CV 3F 2 POLOS</t>
  </si>
  <si>
    <t>Ativos/img/OS5848.jpg</t>
  </si>
  <si>
    <t>Ativos/pdf/OS5848FA</t>
  </si>
  <si>
    <t>OS 6308 - 7596380</t>
  </si>
  <si>
    <t>HGF 315C</t>
  </si>
  <si>
    <t>MOTOR 300 CV 3F 6 POLOS</t>
  </si>
  <si>
    <t>6320/6316</t>
  </si>
  <si>
    <t>1790KG</t>
  </si>
  <si>
    <t>Ativos/img/OS6308.jpg</t>
  </si>
  <si>
    <t>Ativos/pdf/OS6308FA</t>
  </si>
  <si>
    <t>OS 6219 - 7596792</t>
  </si>
  <si>
    <t>DRN 90LP4</t>
  </si>
  <si>
    <t>220/440</t>
  </si>
  <si>
    <t>238.755KG</t>
  </si>
  <si>
    <t>Ativos/img/OS6219.jpg</t>
  </si>
  <si>
    <t>Ativos/pdf/OS6219LP</t>
  </si>
  <si>
    <t>Ativos/pdf/OS6219FA</t>
  </si>
  <si>
    <t>OS 6220 - 7596704</t>
  </si>
  <si>
    <t>MOTOR 1.5 CV 3F 6 POLOS</t>
  </si>
  <si>
    <t>30308/30308</t>
  </si>
  <si>
    <t>90KG</t>
  </si>
  <si>
    <t>Ativos/img/OS6220.jpg</t>
  </si>
  <si>
    <t>Ativos/pdf/OS6220LP</t>
  </si>
  <si>
    <t>Ativos/pdf/OS6220FA</t>
  </si>
  <si>
    <t>OS 6132 - 4390696</t>
  </si>
  <si>
    <t>200M/L</t>
  </si>
  <si>
    <t>361KG</t>
  </si>
  <si>
    <t>VIBRA - MS</t>
  </si>
  <si>
    <t>Ativos/img/OS6132.jpg</t>
  </si>
  <si>
    <t>Ativos/pdf/OS6132LP</t>
  </si>
  <si>
    <t>Ativos/pdf/OS6132FA</t>
  </si>
  <si>
    <t>OS 4938 - 910384</t>
  </si>
  <si>
    <t>AL80</t>
  </si>
  <si>
    <t>6205/6203</t>
  </si>
  <si>
    <t>80KG</t>
  </si>
  <si>
    <t xml:space="preserve">INPASA AGROINDUSTRIAL </t>
  </si>
  <si>
    <t>Ativos/img/OS4938.jpg</t>
  </si>
  <si>
    <t>Ativos/pdf/OS4938LP</t>
  </si>
  <si>
    <t>Ativos/pdf/OS4938FA</t>
  </si>
  <si>
    <t>OS 4940 - 913898</t>
  </si>
  <si>
    <t>Ativos/img/OS4940.jpg</t>
  </si>
  <si>
    <t>Ativos/pdf/OS4940LP</t>
  </si>
  <si>
    <t>Ativos/pdf/OS4940FA</t>
  </si>
  <si>
    <t>e</t>
  </si>
  <si>
    <t>INSTRUÇÕES DE USO</t>
  </si>
  <si>
    <t>1</t>
  </si>
  <si>
    <t>Preencha os dados na aba Equipamentos.</t>
  </si>
  <si>
    <t>2</t>
  </si>
  <si>
    <t>Mantenha a coluna TAG sem repetir valores.</t>
  </si>
  <si>
    <t>3</t>
  </si>
  <si>
    <t>Coloque fotos na pasta assets/img/.</t>
  </si>
  <si>
    <t>4</t>
  </si>
  <si>
    <t>Coloque PDFs na pasta assets/pdf/.</t>
  </si>
  <si>
    <t>5</t>
  </si>
  <si>
    <t>Os caminhos no Excel devem começar com assets/img/ ou assets/pdf/.</t>
  </si>
  <si>
    <t>6</t>
  </si>
  <si>
    <t>Abra gerar_site.py e altere BASE_URL com o link real do GitHub Pages.</t>
  </si>
  <si>
    <t>7</t>
  </si>
  <si>
    <t>Rode no terminal: python gerar_site.py</t>
  </si>
  <si>
    <t>8</t>
  </si>
  <si>
    <t>Após gerar, envie tudo ao GitHub.</t>
  </si>
  <si>
    <t>EXEMPLO DE LINK FINAL</t>
  </si>
  <si>
    <t>https://SEU_USUARIO.github.io/NOME_REPOSITORIO/equipamentos/ME-631011/</t>
  </si>
  <si>
    <t>OS 6354 - 7597184</t>
  </si>
  <si>
    <t>MOTOR 75 CV 3F 4 POLOS</t>
  </si>
  <si>
    <t>404KG</t>
  </si>
  <si>
    <t>OS 6352 - 7596347</t>
  </si>
  <si>
    <t>MOTOR 60 CV 3F 6 POLOS</t>
  </si>
  <si>
    <t>250S/M</t>
  </si>
  <si>
    <t>484KG</t>
  </si>
  <si>
    <t>OS 6353 - 7596386</t>
  </si>
  <si>
    <t>OS 6351 - 7596368</t>
  </si>
  <si>
    <t>240KG</t>
  </si>
  <si>
    <t>Ativos/img/OS6354.jpg</t>
  </si>
  <si>
    <t>Ativos/img/OS6352.jpg</t>
  </si>
  <si>
    <t>Ativos/img/OS6353.jpg</t>
  </si>
  <si>
    <t>Ativos/img/OS6351.jpg</t>
  </si>
  <si>
    <t>Ativos/pdf/OS5848LP.pdf</t>
  </si>
  <si>
    <t>Ativos/pdf/OS6354FA</t>
  </si>
  <si>
    <t>Ativos/pdf/OS6352FA</t>
  </si>
  <si>
    <t>Ativos/pdf/OS6353FA</t>
  </si>
  <si>
    <t>Ativos/pdf/OS6351FA</t>
  </si>
  <si>
    <t>OS 5796 - 3294436</t>
  </si>
  <si>
    <t>OS 5217 - 3294521</t>
  </si>
  <si>
    <t>383KG</t>
  </si>
  <si>
    <t>OS 5797 - 3294497</t>
  </si>
  <si>
    <t>412KG</t>
  </si>
  <si>
    <t>OS 5424 - 3435764</t>
  </si>
  <si>
    <t>377KG</t>
  </si>
  <si>
    <t>OS 5794 - 3294459</t>
  </si>
  <si>
    <t>479KG</t>
  </si>
  <si>
    <t>OS 5795 - 3294427</t>
  </si>
  <si>
    <t>280S/M</t>
  </si>
  <si>
    <t>681KG</t>
  </si>
  <si>
    <t>6316/6316</t>
  </si>
  <si>
    <t>OS 5423 - 3435736</t>
  </si>
  <si>
    <t>315S/M</t>
  </si>
  <si>
    <t>1007KG</t>
  </si>
  <si>
    <t>6319/6316</t>
  </si>
  <si>
    <t>OS 5220 - 3294500</t>
  </si>
  <si>
    <t>1104KG</t>
  </si>
  <si>
    <t>MOTOR 350 CV 3F 4 POLOS</t>
  </si>
  <si>
    <t>355M/L</t>
  </si>
  <si>
    <t>1543KG</t>
  </si>
  <si>
    <t>6322/6319</t>
  </si>
  <si>
    <t>OS 5218 - 3294578</t>
  </si>
  <si>
    <t>2221KG</t>
  </si>
  <si>
    <t>MOTOR 500 CV 3F 4 POLOS</t>
  </si>
  <si>
    <t>315 C/D/E</t>
  </si>
  <si>
    <t>OS 5798 - 3294495</t>
  </si>
  <si>
    <t>Ativos/img/OS5796.jpg</t>
  </si>
  <si>
    <t>Ativos/img/OS5217.jpg</t>
  </si>
  <si>
    <t>Ativos/img/OS5797.jpg</t>
  </si>
  <si>
    <t>Ativos/img/OS5424.jpg</t>
  </si>
  <si>
    <t>Ativos/img/OS5794.jpg</t>
  </si>
  <si>
    <t>Ativos/img/OS5423.jpg</t>
  </si>
  <si>
    <t>Ativos/img/OS5220.jpg</t>
  </si>
  <si>
    <t>Ativos/img/OS5218.jpg</t>
  </si>
  <si>
    <t>Ativos/img/OS5798.jpg</t>
  </si>
  <si>
    <t>Ativos/pdf/OS5796LP</t>
  </si>
  <si>
    <t>Ativos/pdf/OS5217LP</t>
  </si>
  <si>
    <t>Ativos/pdf/OS5797LP</t>
  </si>
  <si>
    <t>Ativos/pdf/OS5424LP</t>
  </si>
  <si>
    <t>Ativos/pdf/OS5794LP</t>
  </si>
  <si>
    <t>Ativos/pdf/OS5795LP</t>
  </si>
  <si>
    <t>Ativos/pdf/OS5423LP</t>
  </si>
  <si>
    <t>Ativos/pdf/OS5220LP</t>
  </si>
  <si>
    <t>Ativos/pdf/OS5218LP</t>
  </si>
  <si>
    <t>Ativos/pdf/OS5798LP</t>
  </si>
  <si>
    <t>Ativos/pdf/OS5796FA</t>
  </si>
  <si>
    <t>Ativos/pdf/OS5217FA</t>
  </si>
  <si>
    <t>Ativos/pdf/OS5797FA</t>
  </si>
  <si>
    <t>Ativos/pdf/OS5424FA</t>
  </si>
  <si>
    <t>Ativos/pdf/OS5794FA</t>
  </si>
  <si>
    <t>Ativos/pdf/OS5795FA</t>
  </si>
  <si>
    <t>Ativos/pdf/OS5423FA</t>
  </si>
  <si>
    <t>Ativos/pdf/OS5220FA</t>
  </si>
  <si>
    <t>Ativos/pdf/OS5218FA</t>
  </si>
  <si>
    <t>Ativos/pdf/OS5798FA</t>
  </si>
  <si>
    <t>OS 6095 - 4390685</t>
  </si>
  <si>
    <t>OS 5622 - 891576</t>
  </si>
  <si>
    <t>90L</t>
  </si>
  <si>
    <t>MOTOR 6 CV 3F 6 POLOS</t>
  </si>
  <si>
    <t>OS 5720 - 891548</t>
  </si>
  <si>
    <t>OS 5692 - 3294498</t>
  </si>
  <si>
    <t>81KG</t>
  </si>
  <si>
    <t>OS 5644 - 891545</t>
  </si>
  <si>
    <t>77KG</t>
  </si>
  <si>
    <t>OS 5658 - 891566</t>
  </si>
  <si>
    <t>MOTOR 6 CV 3F 4 POLOS</t>
  </si>
  <si>
    <t>60KG</t>
  </si>
  <si>
    <t>OS 5722 - 3294452</t>
  </si>
  <si>
    <t>Ativos/img/OS6095.jpg</t>
  </si>
  <si>
    <t>Ativos/img/OS5622.jpg</t>
  </si>
  <si>
    <t>Ativos/img/OS5720.jpg</t>
  </si>
  <si>
    <t>Ativos/img/OS5692.jpg</t>
  </si>
  <si>
    <t>Ativos/img/OS5644.jpg</t>
  </si>
  <si>
    <t>Ativos/img/OS5658.jpg</t>
  </si>
  <si>
    <t>Ativos/img/OS5722.jpg</t>
  </si>
  <si>
    <t>Ativos/pdf/OS6095LP</t>
  </si>
  <si>
    <t>Ativos/pdf/OS5622LP</t>
  </si>
  <si>
    <t>Ativos/pdf/OS5720LP</t>
  </si>
  <si>
    <t>Ativos/pdf/OS5692LP</t>
  </si>
  <si>
    <t>Ativos/pdf/OS5644LP</t>
  </si>
  <si>
    <t>Ativos/pdf/OS5658LP</t>
  </si>
  <si>
    <t>Ativos/pdf/OS5722LP</t>
  </si>
  <si>
    <t>Ativos/pdf/OS6095FA</t>
  </si>
  <si>
    <t>Ativos/pdf/OS5622FA</t>
  </si>
  <si>
    <t>Ativos/pdf/OS5720FA</t>
  </si>
  <si>
    <t>Ativos/pdf/OS5692FA</t>
  </si>
  <si>
    <t>Ativos/pdf/OS5644FA</t>
  </si>
  <si>
    <t>Ativos/pdf/OS5658FA</t>
  </si>
  <si>
    <t>Ativos/pdf/OS5722FA</t>
  </si>
  <si>
    <t>87KG</t>
  </si>
  <si>
    <t>MOTOR 100 CV 3F 4 POLOS</t>
  </si>
  <si>
    <t>MOTOR 125 CV 3F 4 POLOS</t>
  </si>
  <si>
    <t>MOTOR 200 CV 3F 4 POLOS</t>
  </si>
  <si>
    <t>MOTOR 250 CV 3F 4 POLOS</t>
  </si>
  <si>
    <t>Ativos/img/OS5795.jpg</t>
  </si>
  <si>
    <t>OS 6192 -7596778</t>
  </si>
  <si>
    <t>45KG</t>
  </si>
  <si>
    <t>OS 6182 - 7596738</t>
  </si>
  <si>
    <t>OS 5697 - 3294467</t>
  </si>
  <si>
    <t>OS 6370 - 7597113</t>
  </si>
  <si>
    <t>3210KG</t>
  </si>
  <si>
    <t>Ativos/img/OS6192.jpg</t>
  </si>
  <si>
    <t>Ativos/img/OS6182.jpg</t>
  </si>
  <si>
    <t>Ativos/img/OS5697.jpg</t>
  </si>
  <si>
    <t>Ativos/img/OS6370.jpg</t>
  </si>
  <si>
    <t>Ativos/pdf/OS6192LP</t>
  </si>
  <si>
    <t>Ativos/pdf/OS6182LP</t>
  </si>
  <si>
    <t>Ativos/pdf/OS5697LP</t>
  </si>
  <si>
    <t>Ativos/pdf/OS6192FA</t>
  </si>
  <si>
    <t>Ativos/pdf/OS6182FA</t>
  </si>
  <si>
    <t>Ativos/pdf/OS5697FA</t>
  </si>
  <si>
    <t>OS 6217 - 7596730</t>
  </si>
  <si>
    <t>GEREMIA</t>
  </si>
  <si>
    <t>CLAUDIO JOSE</t>
  </si>
  <si>
    <t>OS 5779 - 3294400</t>
  </si>
  <si>
    <t>Ativos/img/OS6217.jpg</t>
  </si>
  <si>
    <t>Ativos/img/OS5779.jpg</t>
  </si>
  <si>
    <t>Ativos/pdf/OS6370LP</t>
  </si>
  <si>
    <t>Ativos/pdf/OS6217LP</t>
  </si>
  <si>
    <t>Ativos/pdf/OS6370FA</t>
  </si>
  <si>
    <t>Ativos/pdf/OS6217FA</t>
  </si>
  <si>
    <t>Ativos/pdf/OS5779FA</t>
  </si>
  <si>
    <t>Ativos/pdf/OS6217RT</t>
  </si>
  <si>
    <t>SUPERGASBRAS</t>
  </si>
  <si>
    <t>OS 6175 - 7596731</t>
  </si>
  <si>
    <t>400L</t>
  </si>
  <si>
    <t>NU 224/6320</t>
  </si>
  <si>
    <t>GD60</t>
  </si>
  <si>
    <t>Ativos/img/OS6175.jpg</t>
  </si>
  <si>
    <t>Ativos/pdf/OS6175LP</t>
  </si>
  <si>
    <t>Ativos/pdf/OS6175FA</t>
  </si>
  <si>
    <t xml:space="preserve">WEG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</si>
</sst>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color rgb="FF111827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D4AF37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6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5" borderId="0" xfId="0" applyNumberFormat="1" applyFont="1" applyFill="1" applyAlignment="1">
      <alignment horizontal="center" vertical="center" wrapText="1"/>
    </xf>
    <xf numFmtId="0" fontId="0" fillId="0" borderId="0" xfId="0" applyNumberFormat="1" applyFont="1" applyFill="1" applyAlignment="1">
      <alignment horizontal="center" vertical="center" wrapText="1"/>
    </xf>
    <xf numFmtId="0" fontId="2" fillId="3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center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font>
        <strike val="0"/>
        <condense val="0"/>
        <extend val="0"/>
        <outline val="0"/>
        <shadow val="0"/>
        <vertAlign val="baseline"/>
        <sz val="11"/>
        <color auto="1"/>
        <name val="Carlito"/>
      </font>
      <numFmt numFmtId="0" formatCode="General"/>
      <fill>
        <patternFill>
          <fgColor indexed="64"/>
          <bgColor indexed="65"/>
        </patternFill>
      </fill>
      <alignment horizontal="center" vertical="center" wrapText="1"/>
    </dxf>
    <dxf>
      <fill>
        <patternFill patternType="solid">
          <fgColor indexed="64"/>
          <bgColor rgb="FFFFFF00"/>
        </patternFill>
      </fill>
      <alignment horizontal="center" vertical="center" wrapText="1"/>
    </dxf>
    <dxf>
      <alignment horizontal="center" vertical="center"/>
    </dxf>
    <dxf>
      <alignment horizontal="center" vertical="center"/>
    </dxf>
    <dxf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Equipamentos" displayName="TabelaEquipamentos" ref="A1:R75" headerRowDxfId="24" dataDxfId="23" totalsRowDxfId="22">
  <autoFilter ref="A1:R75" xr:uid="{00000000-0009-0000-0100-000001000000}"/>
  <tableColumns count="18">
    <tableColumn id="1" xr3:uid="{00000000-0010-0000-0000-000001000000}" name="TAG" dataDxfId="21"/>
    <tableColumn id="19" xr3:uid="{00000000-0010-0000-0000-000013000000}" name="Fabricante" dataDxfId="20"/>
    <tableColumn id="2" xr3:uid="{00000000-0010-0000-0000-000002000000}" name="Tipo" dataDxfId="19">
      <calculatedColumnFormula>CONCATENATE("MOTOREDUTOR"," ",TabelaEquipamentos[[#This Row],[Fabricante]])</calculatedColumnFormula>
    </tableColumn>
    <tableColumn id="3" xr3:uid="{00000000-0010-0000-0000-000003000000}" name="Modelo" dataDxfId="18"/>
    <tableColumn id="4" xr3:uid="{00000000-0010-0000-0000-000004000000}" name="Potencia" dataDxfId="17"/>
    <tableColumn id="5" xr3:uid="{00000000-0010-0000-0000-000005000000}" name="Relacao" dataDxfId="16"/>
    <tableColumn id="6" xr3:uid="{00000000-0010-0000-0000-000006000000}" name="RPM" dataDxfId="15"/>
    <tableColumn id="7" xr3:uid="{00000000-0010-0000-0000-000007000000}" name="Rolamentos" dataDxfId="14"/>
    <tableColumn id="8" xr3:uid="{00000000-0010-0000-0000-000008000000}" name="Lubrificante" dataDxfId="13"/>
    <tableColumn id="9" xr3:uid="{00000000-0010-0000-0000-000009000000}" name="Quantidade_Oleo" dataDxfId="12"/>
    <tableColumn id="10" xr3:uid="{00000000-0010-0000-0000-00000A000000}" name="Cliente" dataDxfId="11"/>
    <tableColumn id="11" xr3:uid="{00000000-0010-0000-0000-00000B000000}" name="Foto" dataDxfId="10"/>
    <tableColumn id="12" xr3:uid="{00000000-0010-0000-0000-00000C000000}" name="Lista_Pecas" dataDxfId="9"/>
    <tableColumn id="13" xr3:uid="{00000000-0010-0000-0000-00000D000000}" name="Manual" dataDxfId="8"/>
    <tableColumn id="14" xr3:uid="{00000000-0010-0000-0000-00000E000000}" name="RELATORIO FINAL" dataDxfId="7"/>
    <tableColumn id="15" xr3:uid="{00000000-0010-0000-0000-00000F000000}" name="Fotos_Adicionais" dataDxfId="6"/>
    <tableColumn id="16" xr3:uid="{00000000-0010-0000-0000-000010000000}" name="Observacoes" dataDxfId="5"/>
    <tableColumn id="17" xr3:uid="{00000000-0010-0000-0000-000011000000}" name="TAG Nº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89"/>
  <sheetViews>
    <sheetView tabSelected="1" zoomScale="85" zoomScaleNormal="85" workbookViewId="0">
      <pane xSplit="6" ySplit="1" topLeftCell="L67" activePane="bottomRight" state="frozen"/>
      <selection pane="topRight" activeCell="F1" sqref="F1"/>
      <selection pane="bottomLeft" activeCell="A2" sqref="A2"/>
      <selection pane="bottomRight" activeCell="C74" sqref="C74"/>
    </sheetView>
  </sheetViews>
  <sheetFormatPr defaultColWidth="9" defaultRowHeight="13.8"/>
  <cols>
    <col min="1" max="1" width="14.8984375" style="2" customWidth="1"/>
    <col min="2" max="2" width="13.69921875" style="2" customWidth="1"/>
    <col min="3" max="3" width="16.69921875" style="2" customWidth="1"/>
    <col min="4" max="4" width="17.09765625" style="2" customWidth="1"/>
    <col min="5" max="5" width="16.59765625" style="2" customWidth="1"/>
    <col min="6" max="6" width="14" style="2" customWidth="1"/>
    <col min="7" max="7" width="12.09765625" style="2" customWidth="1"/>
    <col min="8" max="8" width="8.19921875" style="2" customWidth="1"/>
    <col min="9" max="9" width="12.59765625" style="2" customWidth="1"/>
    <col min="10" max="10" width="13.5" style="2" customWidth="1"/>
    <col min="11" max="11" width="15.69921875" style="2" customWidth="1"/>
    <col min="12" max="12" width="23.19921875" style="2" customWidth="1"/>
    <col min="13" max="13" width="16.09765625" style="2" bestFit="1" customWidth="1"/>
    <col min="14" max="14" width="11.69921875" style="2" bestFit="1" customWidth="1"/>
    <col min="15" max="15" width="11.8984375" style="2" customWidth="1"/>
    <col min="16" max="16" width="10.59765625" style="2" customWidth="1"/>
    <col min="17" max="17" width="20.09765625" style="2" bestFit="1" customWidth="1"/>
    <col min="18" max="18" width="32" style="2" customWidth="1"/>
    <col min="19" max="19" width="9" style="2" customWidth="1"/>
    <col min="20" max="16384" width="9" style="2"/>
  </cols>
  <sheetData>
    <row r="1" spans="1:18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spans="1:18" ht="41.4" customHeight="1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>
        <v>1760</v>
      </c>
      <c r="H2" s="3" t="s">
        <v>24</v>
      </c>
      <c r="I2" s="3" t="s">
        <v>25</v>
      </c>
      <c r="J2" s="3"/>
      <c r="K2" s="3" t="s">
        <v>26</v>
      </c>
      <c r="L2" s="3" t="s">
        <v>27</v>
      </c>
      <c r="M2" s="3" t="s">
        <v>28</v>
      </c>
      <c r="N2" s="3"/>
      <c r="O2" s="3"/>
      <c r="P2" s="3" t="s">
        <v>29</v>
      </c>
      <c r="Q2" s="3"/>
    </row>
    <row r="3" spans="1:18" ht="41.4" customHeight="1">
      <c r="A3" s="3" t="s">
        <v>30</v>
      </c>
      <c r="B3" s="3" t="s">
        <v>19</v>
      </c>
      <c r="C3" s="3" t="s">
        <v>20</v>
      </c>
      <c r="D3" s="3" t="s">
        <v>31</v>
      </c>
      <c r="E3" s="3" t="s">
        <v>32</v>
      </c>
      <c r="F3" s="3" t="s">
        <v>23</v>
      </c>
      <c r="G3" s="3">
        <v>3520</v>
      </c>
      <c r="H3" s="3" t="s">
        <v>33</v>
      </c>
      <c r="I3" s="3" t="s">
        <v>34</v>
      </c>
      <c r="J3" s="3"/>
      <c r="K3" s="3" t="s">
        <v>26</v>
      </c>
      <c r="L3" s="3" t="s">
        <v>35</v>
      </c>
      <c r="M3" s="3" t="s">
        <v>36</v>
      </c>
      <c r="N3" s="3"/>
      <c r="O3" s="3"/>
      <c r="P3" s="3" t="s">
        <v>37</v>
      </c>
      <c r="Q3" s="3"/>
    </row>
    <row r="4" spans="1:18" ht="41.4" customHeight="1">
      <c r="A4" s="3" t="s">
        <v>38</v>
      </c>
      <c r="B4" s="3" t="s">
        <v>19</v>
      </c>
      <c r="C4" s="3" t="s">
        <v>20</v>
      </c>
      <c r="D4" s="3" t="s">
        <v>39</v>
      </c>
      <c r="E4" s="3" t="s">
        <v>40</v>
      </c>
      <c r="F4" s="3" t="s">
        <v>41</v>
      </c>
      <c r="G4" s="3">
        <v>3540</v>
      </c>
      <c r="H4" s="3" t="s">
        <v>42</v>
      </c>
      <c r="I4" s="3" t="s">
        <v>43</v>
      </c>
      <c r="J4" s="3"/>
      <c r="K4" s="3" t="s">
        <v>26</v>
      </c>
      <c r="L4" s="3" t="s">
        <v>44</v>
      </c>
      <c r="M4" s="3" t="s">
        <v>45</v>
      </c>
      <c r="N4" s="3"/>
      <c r="O4" s="3"/>
      <c r="P4" s="3" t="s">
        <v>46</v>
      </c>
      <c r="Q4" s="3"/>
    </row>
    <row r="5" spans="1:18" ht="41.4" customHeight="1">
      <c r="A5" s="3" t="s">
        <v>47</v>
      </c>
      <c r="B5" s="3" t="s">
        <v>19</v>
      </c>
      <c r="C5" s="3" t="s">
        <v>20</v>
      </c>
      <c r="D5" s="3" t="s">
        <v>48</v>
      </c>
      <c r="E5" s="3" t="s">
        <v>49</v>
      </c>
      <c r="F5" s="3" t="s">
        <v>50</v>
      </c>
      <c r="G5" s="3">
        <v>1780</v>
      </c>
      <c r="H5" s="3" t="s">
        <v>51</v>
      </c>
      <c r="I5" s="3" t="s">
        <v>52</v>
      </c>
      <c r="J5" s="3"/>
      <c r="K5" s="3" t="s">
        <v>26</v>
      </c>
      <c r="L5" s="3" t="s">
        <v>53</v>
      </c>
      <c r="M5" s="3" t="s">
        <v>54</v>
      </c>
      <c r="N5" s="3"/>
      <c r="O5" s="3"/>
      <c r="P5" s="3" t="s">
        <v>55</v>
      </c>
      <c r="Q5" s="3"/>
    </row>
    <row r="6" spans="1:18" ht="41.4" customHeight="1">
      <c r="A6" s="3" t="s">
        <v>56</v>
      </c>
      <c r="B6" s="3" t="s">
        <v>19</v>
      </c>
      <c r="C6" s="3" t="s">
        <v>20</v>
      </c>
      <c r="D6" s="3" t="s">
        <v>57</v>
      </c>
      <c r="E6" s="3" t="s">
        <v>58</v>
      </c>
      <c r="F6" s="3" t="s">
        <v>50</v>
      </c>
      <c r="G6" s="3">
        <v>3450</v>
      </c>
      <c r="H6" s="3" t="s">
        <v>59</v>
      </c>
      <c r="I6" s="3" t="s">
        <v>60</v>
      </c>
      <c r="J6" s="3"/>
      <c r="K6" s="3" t="s">
        <v>26</v>
      </c>
      <c r="L6" s="3" t="s">
        <v>61</v>
      </c>
      <c r="M6" s="3" t="s">
        <v>62</v>
      </c>
      <c r="N6" s="3"/>
      <c r="O6" s="3"/>
      <c r="P6" s="3" t="s">
        <v>63</v>
      </c>
      <c r="Q6" s="3"/>
    </row>
    <row r="7" spans="1:18" ht="41.4" customHeight="1">
      <c r="A7" s="3" t="s">
        <v>64</v>
      </c>
      <c r="B7" s="3" t="s">
        <v>19</v>
      </c>
      <c r="C7" s="3" t="s">
        <v>20</v>
      </c>
      <c r="D7" s="3" t="s">
        <v>31</v>
      </c>
      <c r="E7" s="3" t="s">
        <v>65</v>
      </c>
      <c r="F7" s="3" t="s">
        <v>23</v>
      </c>
      <c r="G7" s="3">
        <v>1765</v>
      </c>
      <c r="H7" s="3" t="s">
        <v>33</v>
      </c>
      <c r="I7" s="3" t="s">
        <v>66</v>
      </c>
      <c r="J7" s="3"/>
      <c r="K7" s="3" t="s">
        <v>26</v>
      </c>
      <c r="L7" s="3" t="s">
        <v>67</v>
      </c>
      <c r="M7" s="3" t="s">
        <v>68</v>
      </c>
      <c r="N7" s="3"/>
      <c r="O7" s="3"/>
      <c r="P7" s="3" t="s">
        <v>69</v>
      </c>
      <c r="Q7" s="3"/>
    </row>
    <row r="8" spans="1:18" ht="41.4" customHeight="1">
      <c r="A8" s="3" t="s">
        <v>70</v>
      </c>
      <c r="B8" s="3" t="s">
        <v>19</v>
      </c>
      <c r="C8" s="3" t="s">
        <v>20</v>
      </c>
      <c r="D8" s="3" t="s">
        <v>71</v>
      </c>
      <c r="E8" s="3" t="s">
        <v>72</v>
      </c>
      <c r="F8" s="3" t="s">
        <v>23</v>
      </c>
      <c r="G8" s="3">
        <v>1760</v>
      </c>
      <c r="H8" s="3" t="s">
        <v>24</v>
      </c>
      <c r="I8" s="3" t="s">
        <v>73</v>
      </c>
      <c r="J8" s="3"/>
      <c r="K8" s="3" t="s">
        <v>26</v>
      </c>
      <c r="L8" s="3" t="s">
        <v>74</v>
      </c>
      <c r="M8" s="3" t="s">
        <v>75</v>
      </c>
      <c r="N8" s="3"/>
      <c r="O8" s="3"/>
      <c r="P8" s="3" t="s">
        <v>76</v>
      </c>
      <c r="Q8" s="3"/>
    </row>
    <row r="9" spans="1:18" ht="41.4" customHeight="1">
      <c r="A9" s="3" t="s">
        <v>77</v>
      </c>
      <c r="B9" s="3" t="s">
        <v>19</v>
      </c>
      <c r="C9" s="3" t="s">
        <v>20</v>
      </c>
      <c r="D9" s="3" t="s">
        <v>78</v>
      </c>
      <c r="E9" s="3" t="s">
        <v>79</v>
      </c>
      <c r="F9" s="3" t="s">
        <v>50</v>
      </c>
      <c r="G9" s="3">
        <v>1735</v>
      </c>
      <c r="H9" s="3" t="s">
        <v>80</v>
      </c>
      <c r="I9" s="3" t="s">
        <v>81</v>
      </c>
      <c r="J9" s="3"/>
      <c r="K9" s="3" t="s">
        <v>26</v>
      </c>
      <c r="L9" s="3" t="s">
        <v>82</v>
      </c>
      <c r="M9" s="3" t="s">
        <v>83</v>
      </c>
      <c r="N9" s="3"/>
      <c r="O9" s="3"/>
      <c r="P9" s="3" t="s">
        <v>84</v>
      </c>
      <c r="Q9" s="3"/>
    </row>
    <row r="10" spans="1:18" ht="41.4" customHeight="1">
      <c r="A10" s="3" t="s">
        <v>85</v>
      </c>
      <c r="B10" s="3" t="s">
        <v>19</v>
      </c>
      <c r="C10" s="3" t="s">
        <v>20</v>
      </c>
      <c r="D10" s="3" t="s">
        <v>86</v>
      </c>
      <c r="E10" s="3" t="s">
        <v>87</v>
      </c>
      <c r="F10" s="3" t="s">
        <v>23</v>
      </c>
      <c r="G10" s="3">
        <v>1175</v>
      </c>
      <c r="H10" s="3" t="s">
        <v>42</v>
      </c>
      <c r="I10" s="3" t="s">
        <v>88</v>
      </c>
      <c r="J10" s="3"/>
      <c r="K10" s="3" t="s">
        <v>26</v>
      </c>
      <c r="L10" s="3" t="s">
        <v>89</v>
      </c>
      <c r="M10" s="3" t="s">
        <v>90</v>
      </c>
      <c r="N10" s="3"/>
      <c r="O10" s="3"/>
      <c r="P10" s="3" t="s">
        <v>91</v>
      </c>
      <c r="Q10" s="3"/>
    </row>
    <row r="11" spans="1:18" ht="41.4" customHeight="1">
      <c r="A11" s="3" t="s">
        <v>92</v>
      </c>
      <c r="B11" s="3" t="s">
        <v>19</v>
      </c>
      <c r="C11" s="3" t="s">
        <v>20</v>
      </c>
      <c r="D11" s="3" t="s">
        <v>71</v>
      </c>
      <c r="E11" s="3" t="s">
        <v>93</v>
      </c>
      <c r="F11" s="3" t="s">
        <v>23</v>
      </c>
      <c r="G11" s="3">
        <v>3540</v>
      </c>
      <c r="H11" s="3" t="s">
        <v>24</v>
      </c>
      <c r="I11" s="3" t="s">
        <v>94</v>
      </c>
      <c r="J11" s="3"/>
      <c r="K11" s="3" t="s">
        <v>26</v>
      </c>
      <c r="L11" s="3" t="s">
        <v>95</v>
      </c>
      <c r="M11" s="3" t="s">
        <v>96</v>
      </c>
      <c r="N11" s="3"/>
      <c r="O11" s="3"/>
      <c r="P11" s="3" t="s">
        <v>97</v>
      </c>
      <c r="Q11" s="3"/>
    </row>
    <row r="12" spans="1:18" ht="41.4" customHeight="1">
      <c r="A12" s="3" t="s">
        <v>98</v>
      </c>
      <c r="B12" s="3" t="s">
        <v>19</v>
      </c>
      <c r="C12" s="3" t="s">
        <v>20</v>
      </c>
      <c r="D12" s="3" t="s">
        <v>57</v>
      </c>
      <c r="E12" s="3" t="s">
        <v>99</v>
      </c>
      <c r="F12" s="3" t="s">
        <v>41</v>
      </c>
      <c r="G12" s="3">
        <v>1750</v>
      </c>
      <c r="H12" s="3" t="s">
        <v>59</v>
      </c>
      <c r="I12" s="3" t="s">
        <v>100</v>
      </c>
      <c r="J12" s="3"/>
      <c r="K12" s="3" t="s">
        <v>26</v>
      </c>
      <c r="L12" s="3" t="s">
        <v>101</v>
      </c>
      <c r="M12" s="3" t="s">
        <v>102</v>
      </c>
      <c r="N12" s="3"/>
      <c r="O12" s="3"/>
      <c r="P12" s="3" t="s">
        <v>103</v>
      </c>
      <c r="Q12" s="3"/>
    </row>
    <row r="13" spans="1:18" ht="41.4" customHeight="1">
      <c r="A13" s="3" t="s">
        <v>104</v>
      </c>
      <c r="B13" s="3" t="s">
        <v>19</v>
      </c>
      <c r="C13" s="3" t="s">
        <v>20</v>
      </c>
      <c r="D13" s="3" t="s">
        <v>105</v>
      </c>
      <c r="E13" s="3" t="s">
        <v>106</v>
      </c>
      <c r="F13" s="3" t="s">
        <v>23</v>
      </c>
      <c r="G13" s="3">
        <v>3520</v>
      </c>
      <c r="H13" s="3" t="s">
        <v>33</v>
      </c>
      <c r="I13" s="3" t="s">
        <v>107</v>
      </c>
      <c r="J13" s="3"/>
      <c r="K13" s="3" t="s">
        <v>26</v>
      </c>
      <c r="L13" s="3" t="s">
        <v>108</v>
      </c>
      <c r="M13" s="3" t="s">
        <v>109</v>
      </c>
      <c r="N13" s="3"/>
      <c r="O13" s="3"/>
      <c r="P13" s="3" t="s">
        <v>110</v>
      </c>
      <c r="Q13" s="3"/>
    </row>
    <row r="14" spans="1:18" ht="41.4" customHeight="1">
      <c r="A14" s="3" t="s">
        <v>111</v>
      </c>
      <c r="B14" s="3" t="s">
        <v>112</v>
      </c>
      <c r="C14" s="3" t="s">
        <v>113</v>
      </c>
      <c r="D14" s="3" t="s">
        <v>114</v>
      </c>
      <c r="E14" s="3" t="s">
        <v>115</v>
      </c>
      <c r="F14" s="3" t="s">
        <v>41</v>
      </c>
      <c r="G14" s="3">
        <v>1690</v>
      </c>
      <c r="H14" s="3" t="s">
        <v>116</v>
      </c>
      <c r="I14" s="3"/>
      <c r="J14" s="3"/>
      <c r="K14" s="3" t="s">
        <v>26</v>
      </c>
      <c r="L14" s="3" t="s">
        <v>117</v>
      </c>
      <c r="M14" s="3" t="s">
        <v>118</v>
      </c>
      <c r="N14" s="3"/>
      <c r="O14" s="3"/>
      <c r="P14" s="3" t="s">
        <v>119</v>
      </c>
      <c r="Q14" s="3"/>
    </row>
    <row r="15" spans="1:18" ht="41.4" customHeight="1">
      <c r="A15" s="3" t="s">
        <v>120</v>
      </c>
      <c r="B15" s="3" t="s">
        <v>19</v>
      </c>
      <c r="C15" s="3" t="s">
        <v>20</v>
      </c>
      <c r="D15" s="3" t="s">
        <v>121</v>
      </c>
      <c r="E15" s="3" t="s">
        <v>122</v>
      </c>
      <c r="F15" s="3" t="s">
        <v>50</v>
      </c>
      <c r="G15" s="3">
        <v>3500</v>
      </c>
      <c r="H15" s="3" t="s">
        <v>123</v>
      </c>
      <c r="I15" s="3" t="s">
        <v>124</v>
      </c>
      <c r="J15" s="3"/>
      <c r="K15" s="3" t="s">
        <v>26</v>
      </c>
      <c r="L15" s="3" t="s">
        <v>125</v>
      </c>
      <c r="M15" s="3" t="s">
        <v>126</v>
      </c>
      <c r="N15" s="3"/>
      <c r="O15" s="3"/>
      <c r="P15" s="3" t="s">
        <v>127</v>
      </c>
      <c r="Q15" s="3"/>
    </row>
    <row r="16" spans="1:18" ht="27.6" customHeight="1">
      <c r="A16" s="3" t="s">
        <v>128</v>
      </c>
      <c r="B16" s="3" t="s">
        <v>19</v>
      </c>
      <c r="C16" s="3"/>
      <c r="D16" s="3" t="s">
        <v>105</v>
      </c>
      <c r="E16" s="3"/>
      <c r="F16" s="3" t="s">
        <v>50</v>
      </c>
      <c r="G16" s="3">
        <v>1755</v>
      </c>
      <c r="H16" s="3" t="s">
        <v>33</v>
      </c>
      <c r="I16" s="3" t="s">
        <v>129</v>
      </c>
      <c r="J16" s="3"/>
      <c r="K16" s="3" t="s">
        <v>130</v>
      </c>
      <c r="L16" s="3" t="s">
        <v>131</v>
      </c>
      <c r="M16" s="3" t="s">
        <v>132</v>
      </c>
      <c r="N16" s="3"/>
      <c r="O16" s="3"/>
      <c r="P16" s="3" t="s">
        <v>133</v>
      </c>
      <c r="Q16" s="3"/>
    </row>
    <row r="17" spans="1:17" ht="41.4" customHeight="1">
      <c r="A17" s="3" t="s">
        <v>134</v>
      </c>
      <c r="B17" s="3" t="s">
        <v>19</v>
      </c>
      <c r="C17" s="3" t="s">
        <v>135</v>
      </c>
      <c r="D17" s="3" t="s">
        <v>78</v>
      </c>
      <c r="E17" s="3" t="s">
        <v>136</v>
      </c>
      <c r="F17" s="3" t="s">
        <v>41</v>
      </c>
      <c r="G17" s="3">
        <v>1750</v>
      </c>
      <c r="H17" s="3" t="s">
        <v>137</v>
      </c>
      <c r="I17" s="3" t="s">
        <v>138</v>
      </c>
      <c r="J17" s="3"/>
      <c r="K17" s="3" t="s">
        <v>26</v>
      </c>
      <c r="L17" s="3" t="s">
        <v>139</v>
      </c>
      <c r="M17" s="3" t="s">
        <v>140</v>
      </c>
      <c r="N17" s="3"/>
      <c r="O17" s="3"/>
      <c r="P17" s="3" t="s">
        <v>141</v>
      </c>
      <c r="Q17" s="3"/>
    </row>
    <row r="18" spans="1:17" ht="41.4" customHeight="1">
      <c r="A18" s="3" t="s">
        <v>142</v>
      </c>
      <c r="B18" s="3" t="s">
        <v>112</v>
      </c>
      <c r="C18" s="3" t="s">
        <v>135</v>
      </c>
      <c r="D18" s="3" t="s">
        <v>143</v>
      </c>
      <c r="E18" s="3" t="s">
        <v>144</v>
      </c>
      <c r="F18" s="3" t="s">
        <v>41</v>
      </c>
      <c r="G18" s="3">
        <v>1715</v>
      </c>
      <c r="H18" s="3" t="s">
        <v>145</v>
      </c>
      <c r="I18" s="3" t="s">
        <v>146</v>
      </c>
      <c r="J18" s="3"/>
      <c r="K18" s="3" t="s">
        <v>26</v>
      </c>
      <c r="L18" s="3" t="s">
        <v>147</v>
      </c>
      <c r="M18" s="3" t="s">
        <v>148</v>
      </c>
      <c r="N18" s="3"/>
      <c r="O18" s="3"/>
      <c r="P18" s="3" t="s">
        <v>149</v>
      </c>
      <c r="Q18" s="3"/>
    </row>
    <row r="19" spans="1:17" ht="41.4" customHeight="1">
      <c r="A19" s="3" t="s">
        <v>150</v>
      </c>
      <c r="B19" s="3" t="s">
        <v>19</v>
      </c>
      <c r="C19" s="3" t="s">
        <v>20</v>
      </c>
      <c r="D19" s="3" t="s">
        <v>78</v>
      </c>
      <c r="E19" s="3" t="s">
        <v>151</v>
      </c>
      <c r="F19" s="3" t="s">
        <v>23</v>
      </c>
      <c r="G19" s="3">
        <v>1155</v>
      </c>
      <c r="H19" s="3" t="s">
        <v>80</v>
      </c>
      <c r="I19" s="3" t="s">
        <v>152</v>
      </c>
      <c r="J19" s="3"/>
      <c r="K19" s="3" t="s">
        <v>26</v>
      </c>
      <c r="L19" s="3" t="s">
        <v>153</v>
      </c>
      <c r="M19" s="3" t="s">
        <v>154</v>
      </c>
      <c r="N19" s="3"/>
      <c r="O19" s="3"/>
      <c r="P19" s="3" t="s">
        <v>155</v>
      </c>
      <c r="Q19" s="3"/>
    </row>
    <row r="20" spans="1:17" ht="41.4" customHeight="1">
      <c r="A20" s="3" t="s">
        <v>156</v>
      </c>
      <c r="B20" s="3" t="s">
        <v>19</v>
      </c>
      <c r="C20" s="3" t="s">
        <v>20</v>
      </c>
      <c r="D20" s="3" t="s">
        <v>157</v>
      </c>
      <c r="E20" s="3" t="s">
        <v>106</v>
      </c>
      <c r="F20" s="3" t="s">
        <v>50</v>
      </c>
      <c r="G20" s="3">
        <v>3525</v>
      </c>
      <c r="H20" s="3" t="s">
        <v>33</v>
      </c>
      <c r="I20" s="3" t="s">
        <v>158</v>
      </c>
      <c r="J20" s="3"/>
      <c r="K20" s="3" t="s">
        <v>26</v>
      </c>
      <c r="L20" s="3" t="s">
        <v>159</v>
      </c>
      <c r="M20" s="3" t="s">
        <v>160</v>
      </c>
      <c r="N20" s="3"/>
      <c r="O20" s="3"/>
      <c r="P20" s="3" t="s">
        <v>161</v>
      </c>
      <c r="Q20" s="3"/>
    </row>
    <row r="21" spans="1:17" ht="41.4" customHeight="1">
      <c r="A21" s="3" t="s">
        <v>162</v>
      </c>
      <c r="B21" s="3" t="s">
        <v>19</v>
      </c>
      <c r="C21" s="3" t="s">
        <v>20</v>
      </c>
      <c r="D21" s="3" t="s">
        <v>163</v>
      </c>
      <c r="E21" s="3" t="s">
        <v>164</v>
      </c>
      <c r="F21" s="3" t="s">
        <v>23</v>
      </c>
      <c r="G21" s="3">
        <v>1765</v>
      </c>
      <c r="H21" s="3" t="s">
        <v>165</v>
      </c>
      <c r="I21" s="3" t="s">
        <v>166</v>
      </c>
      <c r="J21" s="3"/>
      <c r="K21" s="3" t="s">
        <v>26</v>
      </c>
      <c r="L21" s="3" t="s">
        <v>167</v>
      </c>
      <c r="M21" s="3" t="s">
        <v>168</v>
      </c>
      <c r="N21" s="3"/>
      <c r="O21" s="3"/>
      <c r="P21" s="3" t="s">
        <v>169</v>
      </c>
      <c r="Q21" s="3"/>
    </row>
    <row r="22" spans="1:17" ht="41.4" customHeight="1">
      <c r="A22" s="3" t="s">
        <v>170</v>
      </c>
      <c r="B22" s="3" t="s">
        <v>19</v>
      </c>
      <c r="C22" s="3"/>
      <c r="D22" s="3" t="s">
        <v>163</v>
      </c>
      <c r="E22" s="3"/>
      <c r="F22" s="3" t="s">
        <v>23</v>
      </c>
      <c r="G22" s="3">
        <v>1175</v>
      </c>
      <c r="H22" s="3" t="s">
        <v>165</v>
      </c>
      <c r="I22" s="3" t="s">
        <v>171</v>
      </c>
      <c r="J22" s="3"/>
      <c r="K22" s="3" t="s">
        <v>26</v>
      </c>
      <c r="L22" s="3" t="s">
        <v>172</v>
      </c>
      <c r="M22" s="3" t="s">
        <v>173</v>
      </c>
      <c r="N22" s="3"/>
      <c r="O22" s="3"/>
      <c r="P22" s="3" t="s">
        <v>174</v>
      </c>
      <c r="Q22" s="3"/>
    </row>
    <row r="23" spans="1:17" ht="41.4" customHeight="1">
      <c r="A23" s="3" t="s">
        <v>175</v>
      </c>
      <c r="B23" s="3" t="s">
        <v>19</v>
      </c>
      <c r="C23" s="3" t="s">
        <v>20</v>
      </c>
      <c r="D23" s="3" t="s">
        <v>176</v>
      </c>
      <c r="E23" s="3" t="s">
        <v>177</v>
      </c>
      <c r="F23" s="3" t="s">
        <v>50</v>
      </c>
      <c r="G23" s="3">
        <v>1770</v>
      </c>
      <c r="H23" s="3" t="s">
        <v>178</v>
      </c>
      <c r="I23" s="3" t="s">
        <v>179</v>
      </c>
      <c r="J23" s="3"/>
      <c r="K23" s="3" t="s">
        <v>26</v>
      </c>
      <c r="L23" s="3" t="s">
        <v>180</v>
      </c>
      <c r="M23" s="3" t="s">
        <v>181</v>
      </c>
      <c r="N23" s="3"/>
      <c r="O23" s="3"/>
      <c r="P23" s="3" t="s">
        <v>182</v>
      </c>
      <c r="Q23" s="3"/>
    </row>
    <row r="24" spans="1:17" ht="27.6" customHeight="1">
      <c r="A24" s="3" t="s">
        <v>183</v>
      </c>
      <c r="B24" s="3" t="s">
        <v>19</v>
      </c>
      <c r="C24" s="3" t="s">
        <v>20</v>
      </c>
      <c r="D24" s="3" t="s">
        <v>71</v>
      </c>
      <c r="E24" s="3" t="s">
        <v>72</v>
      </c>
      <c r="F24" s="3">
        <v>440</v>
      </c>
      <c r="G24" s="3">
        <v>1760</v>
      </c>
      <c r="H24" s="3" t="s">
        <v>24</v>
      </c>
      <c r="I24" s="3" t="s">
        <v>73</v>
      </c>
      <c r="J24" s="3"/>
      <c r="K24" s="3" t="s">
        <v>184</v>
      </c>
      <c r="L24" s="3" t="s">
        <v>185</v>
      </c>
      <c r="M24" s="3" t="s">
        <v>186</v>
      </c>
      <c r="N24" s="3"/>
      <c r="O24" s="3"/>
      <c r="P24" s="3" t="s">
        <v>187</v>
      </c>
      <c r="Q24" s="3"/>
    </row>
    <row r="25" spans="1:17" ht="27.6" customHeight="1">
      <c r="A25" s="3" t="s">
        <v>188</v>
      </c>
      <c r="B25" s="3" t="s">
        <v>19</v>
      </c>
      <c r="C25" s="3" t="s">
        <v>112</v>
      </c>
      <c r="D25" s="3" t="s">
        <v>105</v>
      </c>
      <c r="E25" s="3" t="s">
        <v>189</v>
      </c>
      <c r="F25" s="3" t="s">
        <v>23</v>
      </c>
      <c r="G25" s="3">
        <v>1740</v>
      </c>
      <c r="H25" s="3" t="s">
        <v>33</v>
      </c>
      <c r="I25" s="3"/>
      <c r="J25" s="3"/>
      <c r="K25" s="3" t="s">
        <v>184</v>
      </c>
      <c r="L25" s="3" t="s">
        <v>190</v>
      </c>
      <c r="M25" s="3" t="s">
        <v>191</v>
      </c>
      <c r="N25" s="3"/>
      <c r="O25" s="3"/>
      <c r="P25" s="3" t="s">
        <v>192</v>
      </c>
      <c r="Q25" s="3"/>
    </row>
    <row r="26" spans="1:17" ht="27.6" customHeight="1">
      <c r="A26" s="3" t="s">
        <v>193</v>
      </c>
      <c r="B26" s="3" t="s">
        <v>19</v>
      </c>
      <c r="C26" s="3" t="s">
        <v>20</v>
      </c>
      <c r="D26" s="3" t="s">
        <v>71</v>
      </c>
      <c r="E26" s="3" t="s">
        <v>194</v>
      </c>
      <c r="F26" s="3" t="s">
        <v>23</v>
      </c>
      <c r="G26" s="3">
        <v>1760</v>
      </c>
      <c r="H26" s="3" t="s">
        <v>24</v>
      </c>
      <c r="I26" s="3" t="s">
        <v>195</v>
      </c>
      <c r="J26" s="3"/>
      <c r="K26" s="3" t="s">
        <v>130</v>
      </c>
      <c r="L26" s="3" t="s">
        <v>196</v>
      </c>
      <c r="M26" s="3" t="s">
        <v>197</v>
      </c>
      <c r="N26" s="3"/>
      <c r="O26" s="3"/>
      <c r="P26" s="3" t="s">
        <v>198</v>
      </c>
      <c r="Q26" s="3"/>
    </row>
    <row r="27" spans="1:17" ht="41.4" customHeight="1">
      <c r="A27" s="3" t="s">
        <v>199</v>
      </c>
      <c r="B27" s="3" t="s">
        <v>19</v>
      </c>
      <c r="C27" s="3" t="s">
        <v>19</v>
      </c>
      <c r="D27" s="3" t="s">
        <v>31</v>
      </c>
      <c r="E27" s="3" t="s">
        <v>200</v>
      </c>
      <c r="F27" s="3" t="s">
        <v>50</v>
      </c>
      <c r="G27" s="3">
        <v>1760</v>
      </c>
      <c r="H27" s="3" t="s">
        <v>33</v>
      </c>
      <c r="I27" s="3"/>
      <c r="J27" s="3"/>
      <c r="K27" s="3" t="s">
        <v>26</v>
      </c>
      <c r="L27" s="3" t="s">
        <v>201</v>
      </c>
      <c r="M27" s="3" t="s">
        <v>202</v>
      </c>
      <c r="N27" s="3"/>
      <c r="O27" s="3"/>
      <c r="P27" s="3" t="s">
        <v>203</v>
      </c>
      <c r="Q27" s="3"/>
    </row>
    <row r="28" spans="1:17" ht="41.4" customHeight="1">
      <c r="A28" s="3" t="s">
        <v>204</v>
      </c>
      <c r="B28" s="3" t="s">
        <v>19</v>
      </c>
      <c r="C28" s="3" t="s">
        <v>20</v>
      </c>
      <c r="D28" s="3" t="s">
        <v>121</v>
      </c>
      <c r="E28" s="3" t="s">
        <v>115</v>
      </c>
      <c r="F28" s="3">
        <v>380</v>
      </c>
      <c r="G28" s="3">
        <v>4440</v>
      </c>
      <c r="H28" s="3" t="s">
        <v>123</v>
      </c>
      <c r="I28" s="3" t="s">
        <v>205</v>
      </c>
      <c r="J28" s="3"/>
      <c r="K28" s="3" t="s">
        <v>26</v>
      </c>
      <c r="L28" s="3" t="s">
        <v>206</v>
      </c>
      <c r="M28" s="3" t="s">
        <v>207</v>
      </c>
      <c r="N28" s="3"/>
      <c r="O28" s="3"/>
      <c r="P28" s="3" t="s">
        <v>208</v>
      </c>
      <c r="Q28" s="3"/>
    </row>
    <row r="29" spans="1:17" ht="41.4" customHeight="1">
      <c r="A29" s="3" t="s">
        <v>209</v>
      </c>
      <c r="B29" s="3" t="s">
        <v>19</v>
      </c>
      <c r="C29" s="3" t="s">
        <v>20</v>
      </c>
      <c r="D29" s="3" t="s">
        <v>121</v>
      </c>
      <c r="E29" s="3" t="s">
        <v>210</v>
      </c>
      <c r="F29" s="3" t="s">
        <v>23</v>
      </c>
      <c r="G29" s="3">
        <v>1725</v>
      </c>
      <c r="H29" s="3" t="s">
        <v>123</v>
      </c>
      <c r="I29" s="3" t="s">
        <v>211</v>
      </c>
      <c r="J29" s="3"/>
      <c r="K29" s="3" t="s">
        <v>26</v>
      </c>
      <c r="L29" s="3" t="s">
        <v>212</v>
      </c>
      <c r="M29" s="3" t="s">
        <v>213</v>
      </c>
      <c r="N29" s="3"/>
      <c r="O29" s="3"/>
      <c r="P29" s="3" t="s">
        <v>214</v>
      </c>
      <c r="Q29" s="3"/>
    </row>
    <row r="30" spans="1:17" ht="41.4" customHeight="1">
      <c r="A30" s="3" t="s">
        <v>215</v>
      </c>
      <c r="B30" s="3" t="s">
        <v>19</v>
      </c>
      <c r="C30" s="3" t="s">
        <v>20</v>
      </c>
      <c r="D30" s="3" t="s">
        <v>105</v>
      </c>
      <c r="E30" s="3" t="s">
        <v>216</v>
      </c>
      <c r="F30" s="3" t="s">
        <v>23</v>
      </c>
      <c r="G30" s="3">
        <v>3515</v>
      </c>
      <c r="H30" s="3" t="s">
        <v>33</v>
      </c>
      <c r="I30" s="3" t="s">
        <v>129</v>
      </c>
      <c r="J30" s="3"/>
      <c r="K30" s="3" t="s">
        <v>26</v>
      </c>
      <c r="L30" s="3" t="s">
        <v>217</v>
      </c>
      <c r="M30" s="3" t="s">
        <v>218</v>
      </c>
      <c r="N30" s="3"/>
      <c r="O30" s="3"/>
      <c r="P30" s="3" t="s">
        <v>219</v>
      </c>
      <c r="Q30" s="3"/>
    </row>
    <row r="31" spans="1:17" ht="41.4" customHeight="1">
      <c r="A31" s="3" t="s">
        <v>220</v>
      </c>
      <c r="B31" s="3" t="s">
        <v>19</v>
      </c>
      <c r="C31" s="3" t="s">
        <v>135</v>
      </c>
      <c r="D31" s="3" t="s">
        <v>221</v>
      </c>
      <c r="E31" s="3" t="s">
        <v>222</v>
      </c>
      <c r="F31" s="3" t="s">
        <v>41</v>
      </c>
      <c r="G31" s="3">
        <v>1750</v>
      </c>
      <c r="H31" s="3" t="s">
        <v>59</v>
      </c>
      <c r="I31" s="3" t="s">
        <v>223</v>
      </c>
      <c r="J31" s="3"/>
      <c r="K31" s="3" t="s">
        <v>26</v>
      </c>
      <c r="L31" s="3" t="s">
        <v>224</v>
      </c>
      <c r="M31" s="3" t="s">
        <v>225</v>
      </c>
      <c r="N31" s="3"/>
      <c r="O31" s="3"/>
      <c r="P31" s="3" t="s">
        <v>226</v>
      </c>
      <c r="Q31" s="3"/>
    </row>
    <row r="32" spans="1:17" ht="41.4" customHeight="1">
      <c r="A32" s="3" t="s">
        <v>227</v>
      </c>
      <c r="B32" s="3" t="s">
        <v>19</v>
      </c>
      <c r="C32" s="3" t="s">
        <v>20</v>
      </c>
      <c r="D32" s="3" t="s">
        <v>121</v>
      </c>
      <c r="E32" s="3" t="s">
        <v>222</v>
      </c>
      <c r="F32" s="3" t="s">
        <v>23</v>
      </c>
      <c r="G32" s="3">
        <v>1725</v>
      </c>
      <c r="H32" s="3" t="s">
        <v>123</v>
      </c>
      <c r="I32" s="3" t="s">
        <v>124</v>
      </c>
      <c r="J32" s="3"/>
      <c r="K32" s="3" t="s">
        <v>26</v>
      </c>
      <c r="L32" s="3" t="s">
        <v>228</v>
      </c>
      <c r="M32" s="3" t="s">
        <v>229</v>
      </c>
      <c r="N32" s="3"/>
      <c r="O32" s="3"/>
      <c r="P32" s="3" t="s">
        <v>230</v>
      </c>
      <c r="Q32" s="3"/>
    </row>
    <row r="33" spans="1:17" ht="69" customHeight="1">
      <c r="A33" s="3" t="s">
        <v>231</v>
      </c>
      <c r="B33" s="3" t="s">
        <v>19</v>
      </c>
      <c r="C33" s="3" t="s">
        <v>20</v>
      </c>
      <c r="D33" s="3" t="s">
        <v>121</v>
      </c>
      <c r="E33" s="3" t="s">
        <v>232</v>
      </c>
      <c r="F33" s="3" t="s">
        <v>41</v>
      </c>
      <c r="G33" s="3">
        <v>3505</v>
      </c>
      <c r="H33" s="3" t="s">
        <v>123</v>
      </c>
      <c r="I33" s="3" t="s">
        <v>81</v>
      </c>
      <c r="J33" s="3"/>
      <c r="K33" s="3" t="s">
        <v>233</v>
      </c>
      <c r="L33" s="3" t="s">
        <v>234</v>
      </c>
      <c r="M33" s="3" t="s">
        <v>235</v>
      </c>
      <c r="N33" s="3"/>
      <c r="O33" s="3"/>
      <c r="P33" s="3" t="s">
        <v>236</v>
      </c>
      <c r="Q33" s="3"/>
    </row>
    <row r="34" spans="1:17" ht="55.2" customHeight="1">
      <c r="A34" s="3" t="s">
        <v>237</v>
      </c>
      <c r="B34" s="3" t="s">
        <v>19</v>
      </c>
      <c r="C34" s="3" t="s">
        <v>20</v>
      </c>
      <c r="D34" s="3" t="s">
        <v>238</v>
      </c>
      <c r="E34" s="3" t="s">
        <v>239</v>
      </c>
      <c r="F34" s="3" t="s">
        <v>50</v>
      </c>
      <c r="G34" s="3">
        <v>1175</v>
      </c>
      <c r="H34" s="3" t="s">
        <v>240</v>
      </c>
      <c r="I34" s="3" t="s">
        <v>241</v>
      </c>
      <c r="J34" s="3"/>
      <c r="K34" s="3" t="s">
        <v>242</v>
      </c>
      <c r="L34" s="3" t="s">
        <v>243</v>
      </c>
      <c r="M34" s="3" t="s">
        <v>244</v>
      </c>
      <c r="N34" s="3"/>
      <c r="O34" s="3"/>
      <c r="P34" s="3" t="s">
        <v>245</v>
      </c>
      <c r="Q34" s="3"/>
    </row>
    <row r="35" spans="1:17" ht="27.6" customHeight="1">
      <c r="A35" s="3" t="s">
        <v>246</v>
      </c>
      <c r="B35" s="3" t="s">
        <v>19</v>
      </c>
      <c r="C35" s="3" t="s">
        <v>20</v>
      </c>
      <c r="D35" s="3" t="s">
        <v>157</v>
      </c>
      <c r="E35" s="3" t="s">
        <v>247</v>
      </c>
      <c r="F35" s="3" t="s">
        <v>50</v>
      </c>
      <c r="G35" s="3">
        <v>1765</v>
      </c>
      <c r="H35" s="3"/>
      <c r="I35" s="3" t="s">
        <v>248</v>
      </c>
      <c r="J35" s="3"/>
      <c r="K35" s="3" t="s">
        <v>249</v>
      </c>
      <c r="L35" s="3" t="s">
        <v>250</v>
      </c>
      <c r="M35" s="3" t="s">
        <v>251</v>
      </c>
      <c r="N35" s="3"/>
      <c r="O35" s="3"/>
      <c r="P35" s="3" t="s">
        <v>252</v>
      </c>
      <c r="Q35" s="3"/>
    </row>
    <row r="36" spans="1:17" ht="27.6" customHeight="1">
      <c r="A36" s="3" t="s">
        <v>253</v>
      </c>
      <c r="B36" s="3" t="s">
        <v>19</v>
      </c>
      <c r="C36" s="3" t="s">
        <v>254</v>
      </c>
      <c r="D36" s="3" t="s">
        <v>163</v>
      </c>
      <c r="E36" s="3" t="s">
        <v>255</v>
      </c>
      <c r="F36" s="3" t="s">
        <v>23</v>
      </c>
      <c r="G36" s="3">
        <v>1770</v>
      </c>
      <c r="H36" s="3" t="s">
        <v>165</v>
      </c>
      <c r="I36" s="3" t="s">
        <v>256</v>
      </c>
      <c r="J36" s="3"/>
      <c r="K36" s="3" t="s">
        <v>257</v>
      </c>
      <c r="L36" s="3" t="s">
        <v>258</v>
      </c>
      <c r="M36" s="3" t="s">
        <v>259</v>
      </c>
      <c r="N36" s="3"/>
      <c r="O36" s="3"/>
      <c r="P36" s="3" t="s">
        <v>260</v>
      </c>
      <c r="Q36" s="3"/>
    </row>
    <row r="37" spans="1:17" ht="27.6" customHeight="1">
      <c r="A37" s="3" t="s">
        <v>261</v>
      </c>
      <c r="B37" s="3" t="s">
        <v>112</v>
      </c>
      <c r="C37" s="3" t="s">
        <v>135</v>
      </c>
      <c r="D37" s="3" t="s">
        <v>262</v>
      </c>
      <c r="E37" s="3" t="s">
        <v>263</v>
      </c>
      <c r="F37" s="3" t="s">
        <v>50</v>
      </c>
      <c r="G37" s="3">
        <v>1710</v>
      </c>
      <c r="H37" s="3" t="s">
        <v>264</v>
      </c>
      <c r="I37" s="3" t="s">
        <v>265</v>
      </c>
      <c r="J37" s="3"/>
      <c r="K37" s="3" t="s">
        <v>184</v>
      </c>
      <c r="L37" s="3" t="s">
        <v>266</v>
      </c>
      <c r="M37" s="3" t="s">
        <v>267</v>
      </c>
      <c r="N37" s="3"/>
      <c r="O37" s="3"/>
      <c r="P37" s="3" t="s">
        <v>268</v>
      </c>
      <c r="Q37" s="3"/>
    </row>
    <row r="38" spans="1:17" ht="41.4" customHeight="1">
      <c r="A38" s="3" t="s">
        <v>269</v>
      </c>
      <c r="B38" s="3" t="s">
        <v>112</v>
      </c>
      <c r="C38" s="3" t="s">
        <v>135</v>
      </c>
      <c r="D38" s="3" t="s">
        <v>270</v>
      </c>
      <c r="E38" s="3" t="s">
        <v>271</v>
      </c>
      <c r="F38" s="3" t="s">
        <v>41</v>
      </c>
      <c r="G38" s="3" t="s">
        <v>272</v>
      </c>
      <c r="H38" s="3" t="s">
        <v>264</v>
      </c>
      <c r="I38" s="3" t="s">
        <v>273</v>
      </c>
      <c r="J38" s="3"/>
      <c r="K38" s="3" t="s">
        <v>26</v>
      </c>
      <c r="L38" s="3" t="s">
        <v>274</v>
      </c>
      <c r="M38" s="3" t="s">
        <v>275</v>
      </c>
      <c r="N38" s="3"/>
      <c r="O38" s="3"/>
      <c r="P38" s="3" t="s">
        <v>276</v>
      </c>
      <c r="Q38" s="3"/>
    </row>
    <row r="39" spans="1:17" ht="41.4" customHeight="1">
      <c r="A39" s="3" t="s">
        <v>277</v>
      </c>
      <c r="B39" s="3" t="s">
        <v>19</v>
      </c>
      <c r="C39" s="3" t="s">
        <v>20</v>
      </c>
      <c r="D39" s="3"/>
      <c r="E39" s="3" t="s">
        <v>278</v>
      </c>
      <c r="F39" s="3" t="s">
        <v>23</v>
      </c>
      <c r="G39" s="3"/>
      <c r="H39" s="3"/>
      <c r="I39" s="3"/>
      <c r="J39" s="3"/>
      <c r="K39" s="3" t="s">
        <v>26</v>
      </c>
      <c r="L39" s="3" t="s">
        <v>279</v>
      </c>
      <c r="M39" s="3" t="s">
        <v>280</v>
      </c>
      <c r="N39" s="3"/>
      <c r="O39" s="3"/>
      <c r="P39" s="3" t="s">
        <v>281</v>
      </c>
      <c r="Q39" s="3"/>
    </row>
    <row r="40" spans="1:17" ht="27.6" customHeight="1">
      <c r="A40" s="3" t="s">
        <v>282</v>
      </c>
      <c r="B40" s="3" t="s">
        <v>19</v>
      </c>
      <c r="C40" s="3" t="s">
        <v>135</v>
      </c>
      <c r="D40" s="3" t="s">
        <v>21</v>
      </c>
      <c r="E40" s="3" t="s">
        <v>40</v>
      </c>
      <c r="F40" s="3" t="s">
        <v>50</v>
      </c>
      <c r="G40" s="3">
        <v>3550</v>
      </c>
      <c r="H40" s="3" t="s">
        <v>24</v>
      </c>
      <c r="I40" s="3" t="s">
        <v>283</v>
      </c>
      <c r="J40" s="3"/>
      <c r="K40" s="3" t="s">
        <v>257</v>
      </c>
      <c r="L40" s="3" t="s">
        <v>279</v>
      </c>
      <c r="M40" s="3" t="s">
        <v>284</v>
      </c>
      <c r="N40" s="3"/>
      <c r="O40" s="3"/>
      <c r="P40" s="3" t="s">
        <v>285</v>
      </c>
      <c r="Q40" s="3"/>
    </row>
    <row r="41" spans="1:17" ht="69" customHeight="1">
      <c r="A41" s="3" t="s">
        <v>286</v>
      </c>
      <c r="B41" s="3" t="s">
        <v>19</v>
      </c>
      <c r="C41" s="3" t="s">
        <v>20</v>
      </c>
      <c r="D41" s="3" t="s">
        <v>287</v>
      </c>
      <c r="E41" s="3" t="s">
        <v>288</v>
      </c>
      <c r="F41" s="3" t="s">
        <v>41</v>
      </c>
      <c r="G41" s="3">
        <v>3470</v>
      </c>
      <c r="H41" s="3" t="s">
        <v>59</v>
      </c>
      <c r="I41" s="3" t="s">
        <v>124</v>
      </c>
      <c r="J41" s="3"/>
      <c r="K41" s="3" t="s">
        <v>233</v>
      </c>
      <c r="L41" s="3" t="s">
        <v>289</v>
      </c>
      <c r="M41" s="3" t="s">
        <v>365</v>
      </c>
      <c r="N41" s="3"/>
      <c r="O41" s="3"/>
      <c r="P41" s="3" t="s">
        <v>290</v>
      </c>
      <c r="Q41" s="3"/>
    </row>
    <row r="42" spans="1:17" ht="27.6" customHeight="1">
      <c r="A42" s="3" t="s">
        <v>291</v>
      </c>
      <c r="B42" s="3" t="s">
        <v>19</v>
      </c>
      <c r="C42" s="3" t="s">
        <v>135</v>
      </c>
      <c r="D42" s="3" t="s">
        <v>292</v>
      </c>
      <c r="E42" s="3" t="s">
        <v>293</v>
      </c>
      <c r="F42" s="3">
        <v>380</v>
      </c>
      <c r="G42" s="3">
        <v>1188</v>
      </c>
      <c r="H42" s="3" t="s">
        <v>294</v>
      </c>
      <c r="I42" s="3" t="s">
        <v>295</v>
      </c>
      <c r="J42" s="3"/>
      <c r="K42" s="3" t="s">
        <v>130</v>
      </c>
      <c r="L42" s="3" t="s">
        <v>296</v>
      </c>
      <c r="M42" s="3"/>
      <c r="N42" s="3"/>
      <c r="O42" s="3"/>
      <c r="P42" s="3" t="s">
        <v>297</v>
      </c>
      <c r="Q42" s="3"/>
    </row>
    <row r="43" spans="1:17" ht="27.6" customHeight="1">
      <c r="A43" s="3" t="s">
        <v>298</v>
      </c>
      <c r="B43" s="3" t="s">
        <v>112</v>
      </c>
      <c r="C43" s="3" t="s">
        <v>135</v>
      </c>
      <c r="D43" s="3" t="s">
        <v>299</v>
      </c>
      <c r="E43" s="3" t="s">
        <v>222</v>
      </c>
      <c r="F43" s="3" t="s">
        <v>300</v>
      </c>
      <c r="G43" s="3">
        <v>1700</v>
      </c>
      <c r="H43" s="3" t="s">
        <v>145</v>
      </c>
      <c r="I43" s="3" t="s">
        <v>301</v>
      </c>
      <c r="J43" s="3"/>
      <c r="K43" s="3" t="s">
        <v>249</v>
      </c>
      <c r="L43" s="3" t="s">
        <v>302</v>
      </c>
      <c r="M43" s="3" t="s">
        <v>303</v>
      </c>
      <c r="N43" s="3"/>
      <c r="O43" s="3"/>
      <c r="P43" s="3" t="s">
        <v>304</v>
      </c>
      <c r="Q43" s="3"/>
    </row>
    <row r="44" spans="1:17" ht="27.6" customHeight="1">
      <c r="A44" s="3" t="s">
        <v>305</v>
      </c>
      <c r="B44" s="3" t="s">
        <v>19</v>
      </c>
      <c r="C44" s="3" t="s">
        <v>135</v>
      </c>
      <c r="D44" s="3" t="s">
        <v>57</v>
      </c>
      <c r="E44" s="3" t="s">
        <v>306</v>
      </c>
      <c r="F44" s="3" t="s">
        <v>41</v>
      </c>
      <c r="G44" s="3">
        <v>1160</v>
      </c>
      <c r="H44" s="3" t="s">
        <v>307</v>
      </c>
      <c r="I44" s="3" t="s">
        <v>308</v>
      </c>
      <c r="J44" s="3"/>
      <c r="K44" s="3" t="s">
        <v>249</v>
      </c>
      <c r="L44" s="3" t="s">
        <v>309</v>
      </c>
      <c r="M44" s="3" t="s">
        <v>310</v>
      </c>
      <c r="N44" s="3"/>
      <c r="O44" s="3"/>
      <c r="P44" s="3" t="s">
        <v>311</v>
      </c>
      <c r="Q44" s="3"/>
    </row>
    <row r="45" spans="1:17" ht="27.6" customHeight="1">
      <c r="A45" s="3" t="s">
        <v>312</v>
      </c>
      <c r="B45" s="3" t="s">
        <v>19</v>
      </c>
      <c r="C45" s="3" t="s">
        <v>20</v>
      </c>
      <c r="D45" s="3" t="s">
        <v>313</v>
      </c>
      <c r="E45" s="3" t="s">
        <v>255</v>
      </c>
      <c r="F45" s="3" t="s">
        <v>50</v>
      </c>
      <c r="G45" s="3">
        <v>1775</v>
      </c>
      <c r="H45" s="3" t="s">
        <v>165</v>
      </c>
      <c r="I45" s="3" t="s">
        <v>314</v>
      </c>
      <c r="J45" s="3"/>
      <c r="K45" s="3" t="s">
        <v>315</v>
      </c>
      <c r="L45" s="3" t="s">
        <v>316</v>
      </c>
      <c r="M45" s="3" t="s">
        <v>317</v>
      </c>
      <c r="N45" s="3"/>
      <c r="O45" s="3"/>
      <c r="P45" s="3" t="s">
        <v>318</v>
      </c>
      <c r="Q45" s="3"/>
    </row>
    <row r="46" spans="1:17" ht="41.4" customHeight="1">
      <c r="A46" s="3" t="s">
        <v>319</v>
      </c>
      <c r="B46" s="3" t="s">
        <v>19</v>
      </c>
      <c r="C46" s="3" t="s">
        <v>135</v>
      </c>
      <c r="D46" s="3" t="s">
        <v>320</v>
      </c>
      <c r="E46" s="3" t="s">
        <v>263</v>
      </c>
      <c r="F46" s="3" t="s">
        <v>50</v>
      </c>
      <c r="G46" s="3">
        <v>1725</v>
      </c>
      <c r="H46" s="3" t="s">
        <v>321</v>
      </c>
      <c r="I46" s="3" t="s">
        <v>322</v>
      </c>
      <c r="J46" s="3"/>
      <c r="K46" s="3" t="s">
        <v>323</v>
      </c>
      <c r="L46" s="3" t="s">
        <v>324</v>
      </c>
      <c r="M46" s="3" t="s">
        <v>325</v>
      </c>
      <c r="N46" s="3"/>
      <c r="O46" s="3"/>
      <c r="P46" s="3" t="s">
        <v>326</v>
      </c>
      <c r="Q46" s="3"/>
    </row>
    <row r="47" spans="1:17" ht="41.4" customHeight="1">
      <c r="A47" s="3" t="s">
        <v>327</v>
      </c>
      <c r="B47" s="3" t="s">
        <v>19</v>
      </c>
      <c r="C47" s="3" t="s">
        <v>135</v>
      </c>
      <c r="D47" s="3" t="s">
        <v>320</v>
      </c>
      <c r="E47" s="3" t="s">
        <v>263</v>
      </c>
      <c r="F47" s="3">
        <v>440</v>
      </c>
      <c r="G47" s="3">
        <v>1730</v>
      </c>
      <c r="H47" s="3" t="s">
        <v>321</v>
      </c>
      <c r="I47" s="3"/>
      <c r="J47" s="3"/>
      <c r="K47" s="3" t="s">
        <v>323</v>
      </c>
      <c r="L47" s="3" t="s">
        <v>328</v>
      </c>
      <c r="M47" s="3" t="s">
        <v>329</v>
      </c>
      <c r="N47" s="3"/>
      <c r="O47" s="3"/>
      <c r="P47" s="3" t="s">
        <v>330</v>
      </c>
      <c r="Q47" s="3"/>
    </row>
    <row r="48" spans="1:17" ht="27.6">
      <c r="A48" s="3" t="s">
        <v>351</v>
      </c>
      <c r="B48" s="3" t="s">
        <v>19</v>
      </c>
      <c r="C48" s="3" t="s">
        <v>135</v>
      </c>
      <c r="D48" s="3">
        <v>225</v>
      </c>
      <c r="E48" s="3" t="s">
        <v>352</v>
      </c>
      <c r="F48" s="3" t="s">
        <v>23</v>
      </c>
      <c r="G48" s="3">
        <v>1775</v>
      </c>
      <c r="H48" s="3" t="s">
        <v>51</v>
      </c>
      <c r="I48" s="3" t="s">
        <v>353</v>
      </c>
      <c r="J48" s="3"/>
      <c r="K48" s="3" t="s">
        <v>249</v>
      </c>
      <c r="L48" s="3" t="s">
        <v>361</v>
      </c>
      <c r="M48" s="3"/>
      <c r="N48" s="3"/>
      <c r="O48" s="3"/>
      <c r="P48" s="3" t="s">
        <v>366</v>
      </c>
      <c r="Q48" s="3"/>
    </row>
    <row r="49" spans="1:17" ht="27.6">
      <c r="A49" s="3" t="s">
        <v>354</v>
      </c>
      <c r="B49" s="3" t="s">
        <v>19</v>
      </c>
      <c r="C49" s="3" t="s">
        <v>135</v>
      </c>
      <c r="D49" s="3" t="s">
        <v>356</v>
      </c>
      <c r="E49" s="3" t="s">
        <v>355</v>
      </c>
      <c r="F49" s="3" t="s">
        <v>50</v>
      </c>
      <c r="G49" s="3">
        <v>1186</v>
      </c>
      <c r="H49" s="3" t="s">
        <v>51</v>
      </c>
      <c r="I49" s="3" t="s">
        <v>357</v>
      </c>
      <c r="J49" s="3"/>
      <c r="K49" s="3" t="s">
        <v>249</v>
      </c>
      <c r="L49" s="3" t="s">
        <v>362</v>
      </c>
      <c r="M49" s="3"/>
      <c r="N49" s="3"/>
      <c r="O49" s="3"/>
      <c r="P49" s="3" t="s">
        <v>367</v>
      </c>
      <c r="Q49" s="3"/>
    </row>
    <row r="50" spans="1:17" ht="27.6">
      <c r="A50" s="3" t="s">
        <v>358</v>
      </c>
      <c r="B50" s="3" t="s">
        <v>19</v>
      </c>
      <c r="C50" s="3" t="s">
        <v>135</v>
      </c>
      <c r="D50" s="3">
        <v>225</v>
      </c>
      <c r="E50" s="3" t="s">
        <v>352</v>
      </c>
      <c r="F50" s="3" t="s">
        <v>23</v>
      </c>
      <c r="G50" s="3">
        <v>1775</v>
      </c>
      <c r="H50" s="3" t="s">
        <v>51</v>
      </c>
      <c r="I50" s="3" t="s">
        <v>353</v>
      </c>
      <c r="J50" s="3"/>
      <c r="K50" s="3" t="s">
        <v>249</v>
      </c>
      <c r="L50" s="3" t="s">
        <v>363</v>
      </c>
      <c r="M50" s="3"/>
      <c r="N50" s="3"/>
      <c r="O50" s="3"/>
      <c r="P50" s="3" t="s">
        <v>368</v>
      </c>
      <c r="Q50" s="3"/>
    </row>
    <row r="51" spans="1:17" ht="27.6">
      <c r="A51" s="3" t="s">
        <v>359</v>
      </c>
      <c r="B51" s="3" t="s">
        <v>19</v>
      </c>
      <c r="C51" s="3" t="s">
        <v>135</v>
      </c>
      <c r="D51" s="3" t="s">
        <v>313</v>
      </c>
      <c r="E51" s="3" t="s">
        <v>164</v>
      </c>
      <c r="F51" s="3" t="s">
        <v>50</v>
      </c>
      <c r="G51" s="3">
        <v>1775</v>
      </c>
      <c r="H51" s="3" t="s">
        <v>165</v>
      </c>
      <c r="I51" s="3" t="s">
        <v>360</v>
      </c>
      <c r="J51" s="3"/>
      <c r="K51" s="3" t="s">
        <v>249</v>
      </c>
      <c r="L51" s="3" t="s">
        <v>364</v>
      </c>
      <c r="M51" s="3"/>
      <c r="N51" s="3"/>
      <c r="O51" s="3"/>
      <c r="P51" s="3" t="s">
        <v>369</v>
      </c>
      <c r="Q51" s="3"/>
    </row>
    <row r="52" spans="1:17" ht="27.6">
      <c r="A52" s="3" t="s">
        <v>370</v>
      </c>
      <c r="B52" s="3" t="s">
        <v>19</v>
      </c>
      <c r="C52" s="3" t="s">
        <v>254</v>
      </c>
      <c r="D52" s="3"/>
      <c r="E52" s="3" t="s">
        <v>255</v>
      </c>
      <c r="F52" s="3"/>
      <c r="G52" s="3"/>
      <c r="H52" s="3"/>
      <c r="I52" s="3"/>
      <c r="J52" s="3"/>
      <c r="K52" s="3" t="s">
        <v>257</v>
      </c>
      <c r="L52" s="3" t="s">
        <v>398</v>
      </c>
      <c r="M52" s="3" t="s">
        <v>407</v>
      </c>
      <c r="N52" s="3"/>
      <c r="O52" s="3"/>
      <c r="P52" s="3" t="s">
        <v>417</v>
      </c>
      <c r="Q52" s="3"/>
    </row>
    <row r="53" spans="1:17" ht="27.6">
      <c r="A53" s="3" t="s">
        <v>371</v>
      </c>
      <c r="B53" s="3" t="s">
        <v>19</v>
      </c>
      <c r="C53" s="3" t="s">
        <v>135</v>
      </c>
      <c r="D53" s="3" t="s">
        <v>48</v>
      </c>
      <c r="E53" s="3" t="s">
        <v>49</v>
      </c>
      <c r="F53" s="3" t="s">
        <v>50</v>
      </c>
      <c r="G53" s="3">
        <v>1775</v>
      </c>
      <c r="H53" s="3" t="s">
        <v>51</v>
      </c>
      <c r="I53" s="3" t="s">
        <v>372</v>
      </c>
      <c r="J53" s="3"/>
      <c r="K53" s="3" t="s">
        <v>257</v>
      </c>
      <c r="L53" s="3" t="s">
        <v>399</v>
      </c>
      <c r="M53" s="3" t="s">
        <v>408</v>
      </c>
      <c r="N53" s="3"/>
      <c r="O53" s="3"/>
      <c r="P53" s="3" t="s">
        <v>418</v>
      </c>
      <c r="Q53" s="3"/>
    </row>
    <row r="54" spans="1:17" ht="27.6">
      <c r="A54" s="3" t="s">
        <v>373</v>
      </c>
      <c r="B54" s="3" t="s">
        <v>19</v>
      </c>
      <c r="C54" s="3" t="s">
        <v>254</v>
      </c>
      <c r="D54" s="3" t="s">
        <v>48</v>
      </c>
      <c r="E54" s="3" t="s">
        <v>352</v>
      </c>
      <c r="F54" s="3" t="s">
        <v>23</v>
      </c>
      <c r="G54" s="3">
        <v>1775</v>
      </c>
      <c r="H54" s="3" t="s">
        <v>51</v>
      </c>
      <c r="I54" s="3" t="s">
        <v>374</v>
      </c>
      <c r="J54" s="3"/>
      <c r="K54" s="3" t="s">
        <v>257</v>
      </c>
      <c r="L54" s="3" t="s">
        <v>400</v>
      </c>
      <c r="M54" s="3" t="s">
        <v>409</v>
      </c>
      <c r="N54" s="3"/>
      <c r="O54" s="3"/>
      <c r="P54" s="3" t="s">
        <v>419</v>
      </c>
      <c r="Q54" s="3"/>
    </row>
    <row r="55" spans="1:17" ht="27.6">
      <c r="A55" s="3" t="s">
        <v>375</v>
      </c>
      <c r="B55" s="3" t="s">
        <v>19</v>
      </c>
      <c r="C55" s="3"/>
      <c r="D55" s="3" t="s">
        <v>48</v>
      </c>
      <c r="E55" s="3" t="s">
        <v>49</v>
      </c>
      <c r="F55" s="3" t="s">
        <v>50</v>
      </c>
      <c r="G55" s="3">
        <v>1775</v>
      </c>
      <c r="H55" s="3" t="s">
        <v>51</v>
      </c>
      <c r="I55" s="3" t="s">
        <v>376</v>
      </c>
      <c r="J55" s="3"/>
      <c r="K55" s="3" t="s">
        <v>257</v>
      </c>
      <c r="L55" s="3" t="s">
        <v>401</v>
      </c>
      <c r="M55" s="3" t="s">
        <v>410</v>
      </c>
      <c r="N55" s="3"/>
      <c r="O55" s="3"/>
      <c r="P55" s="3" t="s">
        <v>420</v>
      </c>
      <c r="Q55" s="3"/>
    </row>
    <row r="56" spans="1:17" ht="27.6">
      <c r="A56" s="3" t="s">
        <v>377</v>
      </c>
      <c r="B56" s="3" t="s">
        <v>19</v>
      </c>
      <c r="C56" s="3" t="s">
        <v>254</v>
      </c>
      <c r="D56" s="3" t="s">
        <v>356</v>
      </c>
      <c r="E56" s="3" t="s">
        <v>462</v>
      </c>
      <c r="F56" s="3">
        <v>380</v>
      </c>
      <c r="G56" s="3">
        <v>1775</v>
      </c>
      <c r="H56" s="3" t="s">
        <v>51</v>
      </c>
      <c r="I56" s="3" t="s">
        <v>378</v>
      </c>
      <c r="J56" s="3"/>
      <c r="K56" s="3" t="s">
        <v>257</v>
      </c>
      <c r="L56" s="3" t="s">
        <v>402</v>
      </c>
      <c r="M56" s="3" t="s">
        <v>411</v>
      </c>
      <c r="N56" s="3"/>
      <c r="O56" s="3"/>
      <c r="P56" s="3" t="s">
        <v>421</v>
      </c>
      <c r="Q56" s="3"/>
    </row>
    <row r="57" spans="1:17" ht="27.6">
      <c r="A57" s="3" t="s">
        <v>379</v>
      </c>
      <c r="B57" s="3" t="s">
        <v>19</v>
      </c>
      <c r="C57" s="3"/>
      <c r="D57" s="3" t="s">
        <v>380</v>
      </c>
      <c r="E57" s="3" t="s">
        <v>463</v>
      </c>
      <c r="F57" s="3" t="s">
        <v>50</v>
      </c>
      <c r="G57" s="3">
        <v>1785</v>
      </c>
      <c r="H57" s="3" t="s">
        <v>382</v>
      </c>
      <c r="I57" s="3" t="s">
        <v>381</v>
      </c>
      <c r="J57" s="3"/>
      <c r="K57" s="3" t="s">
        <v>257</v>
      </c>
      <c r="L57" s="3" t="s">
        <v>466</v>
      </c>
      <c r="M57" s="3" t="s">
        <v>412</v>
      </c>
      <c r="N57" s="3"/>
      <c r="O57" s="3"/>
      <c r="P57" s="3" t="s">
        <v>422</v>
      </c>
      <c r="Q57" s="3"/>
    </row>
    <row r="58" spans="1:17" ht="27.6">
      <c r="A58" s="3" t="s">
        <v>383</v>
      </c>
      <c r="B58" s="3" t="s">
        <v>19</v>
      </c>
      <c r="C58" s="3"/>
      <c r="D58" s="3" t="s">
        <v>384</v>
      </c>
      <c r="E58" s="3" t="s">
        <v>464</v>
      </c>
      <c r="F58" s="3">
        <v>380</v>
      </c>
      <c r="G58" s="3">
        <v>1790</v>
      </c>
      <c r="H58" s="3" t="s">
        <v>386</v>
      </c>
      <c r="I58" s="3" t="s">
        <v>385</v>
      </c>
      <c r="J58" s="3"/>
      <c r="K58" s="3" t="s">
        <v>257</v>
      </c>
      <c r="L58" s="3" t="s">
        <v>403</v>
      </c>
      <c r="M58" s="3" t="s">
        <v>413</v>
      </c>
      <c r="N58" s="3"/>
      <c r="O58" s="3"/>
      <c r="P58" s="3" t="s">
        <v>423</v>
      </c>
      <c r="Q58" s="3"/>
    </row>
    <row r="59" spans="1:17" ht="27.6">
      <c r="A59" s="3" t="s">
        <v>387</v>
      </c>
      <c r="B59" s="3" t="s">
        <v>19</v>
      </c>
      <c r="C59" s="3"/>
      <c r="D59" s="3" t="s">
        <v>384</v>
      </c>
      <c r="E59" s="3" t="s">
        <v>465</v>
      </c>
      <c r="F59" s="3">
        <v>380</v>
      </c>
      <c r="G59" s="3">
        <v>1790</v>
      </c>
      <c r="H59" s="3" t="s">
        <v>386</v>
      </c>
      <c r="I59" s="3" t="s">
        <v>388</v>
      </c>
      <c r="J59" s="3"/>
      <c r="K59" s="3" t="s">
        <v>257</v>
      </c>
      <c r="L59" s="3" t="s">
        <v>404</v>
      </c>
      <c r="M59" s="3" t="s">
        <v>414</v>
      </c>
      <c r="N59" s="3"/>
      <c r="O59" s="3"/>
      <c r="P59" s="3" t="s">
        <v>424</v>
      </c>
      <c r="Q59" s="3"/>
    </row>
    <row r="60" spans="1:17" ht="27.6">
      <c r="A60" s="3" t="s">
        <v>393</v>
      </c>
      <c r="B60" s="3" t="s">
        <v>19</v>
      </c>
      <c r="C60" s="3" t="s">
        <v>254</v>
      </c>
      <c r="D60" s="3" t="s">
        <v>390</v>
      </c>
      <c r="E60" s="3" t="s">
        <v>389</v>
      </c>
      <c r="F60" s="3" t="s">
        <v>23</v>
      </c>
      <c r="G60" s="3">
        <v>1790</v>
      </c>
      <c r="H60" s="3" t="s">
        <v>392</v>
      </c>
      <c r="I60" s="3" t="s">
        <v>391</v>
      </c>
      <c r="J60" s="3"/>
      <c r="K60" s="3" t="s">
        <v>257</v>
      </c>
      <c r="L60" s="3" t="s">
        <v>405</v>
      </c>
      <c r="M60" s="3" t="s">
        <v>415</v>
      </c>
      <c r="N60" s="3"/>
      <c r="O60" s="3"/>
      <c r="P60" s="3" t="s">
        <v>425</v>
      </c>
      <c r="Q60" s="3"/>
    </row>
    <row r="61" spans="1:17" ht="27.6">
      <c r="A61" s="4" t="s">
        <v>397</v>
      </c>
      <c r="B61" s="3" t="s">
        <v>19</v>
      </c>
      <c r="C61" s="3" t="s">
        <v>135</v>
      </c>
      <c r="D61" s="3" t="s">
        <v>396</v>
      </c>
      <c r="E61" s="3" t="s">
        <v>395</v>
      </c>
      <c r="F61" s="3">
        <v>380</v>
      </c>
      <c r="G61" s="3">
        <v>1784</v>
      </c>
      <c r="H61" s="3" t="s">
        <v>294</v>
      </c>
      <c r="I61" s="3" t="s">
        <v>394</v>
      </c>
      <c r="J61" s="3"/>
      <c r="K61" s="3" t="s">
        <v>257</v>
      </c>
      <c r="L61" s="3" t="s">
        <v>406</v>
      </c>
      <c r="M61" s="3" t="s">
        <v>416</v>
      </c>
      <c r="N61" s="3"/>
      <c r="O61" s="3"/>
      <c r="P61" s="3" t="s">
        <v>426</v>
      </c>
      <c r="Q61" s="3"/>
    </row>
    <row r="62" spans="1:17" ht="27.6">
      <c r="A62" s="3" t="s">
        <v>427</v>
      </c>
      <c r="B62" s="3" t="s">
        <v>19</v>
      </c>
      <c r="C62" s="3" t="s">
        <v>20</v>
      </c>
      <c r="D62" s="3" t="s">
        <v>39</v>
      </c>
      <c r="E62" s="3" t="s">
        <v>177</v>
      </c>
      <c r="F62" s="3" t="s">
        <v>23</v>
      </c>
      <c r="G62" s="3">
        <v>1760</v>
      </c>
      <c r="H62" s="3"/>
      <c r="I62" s="3"/>
      <c r="J62" s="3"/>
      <c r="K62" s="3" t="s">
        <v>130</v>
      </c>
      <c r="L62" s="3" t="s">
        <v>440</v>
      </c>
      <c r="M62" s="3" t="s">
        <v>447</v>
      </c>
      <c r="N62" s="3"/>
      <c r="O62" s="3"/>
      <c r="P62" s="3" t="s">
        <v>454</v>
      </c>
      <c r="Q62" s="3"/>
    </row>
    <row r="63" spans="1:17" ht="41.4">
      <c r="A63" s="3" t="s">
        <v>428</v>
      </c>
      <c r="B63" s="3" t="s">
        <v>19</v>
      </c>
      <c r="C63" s="3" t="s">
        <v>20</v>
      </c>
      <c r="D63" s="3" t="s">
        <v>429</v>
      </c>
      <c r="E63" s="3" t="s">
        <v>72</v>
      </c>
      <c r="F63" s="3" t="s">
        <v>50</v>
      </c>
      <c r="G63" s="3">
        <v>1740</v>
      </c>
      <c r="H63" s="3" t="s">
        <v>59</v>
      </c>
      <c r="I63" s="3" t="s">
        <v>205</v>
      </c>
      <c r="J63" s="3"/>
      <c r="K63" s="3" t="s">
        <v>26</v>
      </c>
      <c r="L63" s="3" t="s">
        <v>441</v>
      </c>
      <c r="M63" s="3" t="s">
        <v>448</v>
      </c>
      <c r="N63" s="3"/>
      <c r="O63" s="3"/>
      <c r="P63" s="3" t="s">
        <v>455</v>
      </c>
      <c r="Q63" s="3"/>
    </row>
    <row r="64" spans="1:17" ht="41.4">
      <c r="A64" s="3" t="s">
        <v>431</v>
      </c>
      <c r="B64" s="3" t="s">
        <v>19</v>
      </c>
      <c r="C64" s="3" t="s">
        <v>20</v>
      </c>
      <c r="D64" s="3"/>
      <c r="E64" s="3" t="s">
        <v>430</v>
      </c>
      <c r="F64" s="3" t="s">
        <v>23</v>
      </c>
      <c r="G64" s="3">
        <v>1160</v>
      </c>
      <c r="H64" s="3" t="s">
        <v>33</v>
      </c>
      <c r="I64" s="3" t="s">
        <v>461</v>
      </c>
      <c r="J64" s="3"/>
      <c r="K64" s="3" t="s">
        <v>26</v>
      </c>
      <c r="L64" s="3" t="s">
        <v>442</v>
      </c>
      <c r="M64" s="3" t="s">
        <v>449</v>
      </c>
      <c r="N64" s="3"/>
      <c r="O64" s="3"/>
      <c r="P64" s="3" t="s">
        <v>456</v>
      </c>
      <c r="Q64" s="3"/>
    </row>
    <row r="65" spans="1:18" ht="41.4">
      <c r="A65" s="3" t="s">
        <v>432</v>
      </c>
      <c r="B65" s="3" t="s">
        <v>19</v>
      </c>
      <c r="C65" s="3" t="s">
        <v>20</v>
      </c>
      <c r="D65" s="3" t="s">
        <v>31</v>
      </c>
      <c r="E65" s="3" t="s">
        <v>200</v>
      </c>
      <c r="F65" s="3" t="s">
        <v>50</v>
      </c>
      <c r="G65" s="3">
        <v>1760</v>
      </c>
      <c r="H65" s="3" t="s">
        <v>33</v>
      </c>
      <c r="I65" s="3" t="s">
        <v>433</v>
      </c>
      <c r="J65" s="3"/>
      <c r="K65" s="3" t="s">
        <v>26</v>
      </c>
      <c r="L65" s="3" t="s">
        <v>443</v>
      </c>
      <c r="M65" s="3" t="s">
        <v>450</v>
      </c>
      <c r="N65" s="3"/>
      <c r="O65" s="3"/>
      <c r="P65" s="3" t="s">
        <v>457</v>
      </c>
      <c r="Q65" s="3"/>
    </row>
    <row r="66" spans="1:18" ht="41.4">
      <c r="A66" s="3" t="s">
        <v>434</v>
      </c>
      <c r="B66" s="3" t="s">
        <v>19</v>
      </c>
      <c r="C66" s="3" t="s">
        <v>20</v>
      </c>
      <c r="D66" s="3" t="s">
        <v>31</v>
      </c>
      <c r="E66" s="3" t="s">
        <v>65</v>
      </c>
      <c r="F66" s="3" t="s">
        <v>23</v>
      </c>
      <c r="G66" s="3">
        <v>1755</v>
      </c>
      <c r="H66" s="3" t="s">
        <v>33</v>
      </c>
      <c r="I66" s="3" t="s">
        <v>435</v>
      </c>
      <c r="J66" s="3"/>
      <c r="K66" s="3" t="s">
        <v>26</v>
      </c>
      <c r="L66" s="3" t="s">
        <v>444</v>
      </c>
      <c r="M66" s="3" t="s">
        <v>451</v>
      </c>
      <c r="N66" s="3"/>
      <c r="O66" s="3"/>
      <c r="P66" s="3" t="s">
        <v>458</v>
      </c>
      <c r="Q66" s="3"/>
    </row>
    <row r="67" spans="1:18" ht="41.4">
      <c r="A67" s="3" t="s">
        <v>436</v>
      </c>
      <c r="B67" s="3" t="s">
        <v>19</v>
      </c>
      <c r="C67" s="3" t="s">
        <v>20</v>
      </c>
      <c r="D67" s="3" t="s">
        <v>429</v>
      </c>
      <c r="E67" s="3" t="s">
        <v>278</v>
      </c>
      <c r="F67" s="3" t="s">
        <v>50</v>
      </c>
      <c r="G67" s="3">
        <v>1140</v>
      </c>
      <c r="H67" s="3" t="s">
        <v>59</v>
      </c>
      <c r="I67" s="3" t="s">
        <v>205</v>
      </c>
      <c r="J67" s="3"/>
      <c r="K67" s="3" t="s">
        <v>26</v>
      </c>
      <c r="L67" s="3" t="s">
        <v>445</v>
      </c>
      <c r="M67" s="3" t="s">
        <v>452</v>
      </c>
      <c r="N67" s="3"/>
      <c r="O67" s="3"/>
      <c r="P67" s="3" t="s">
        <v>459</v>
      </c>
      <c r="Q67" s="3"/>
    </row>
    <row r="68" spans="1:18" ht="41.4">
      <c r="A68" s="3" t="s">
        <v>439</v>
      </c>
      <c r="B68" s="3" t="s">
        <v>19</v>
      </c>
      <c r="C68" s="3" t="s">
        <v>20</v>
      </c>
      <c r="D68" s="3" t="s">
        <v>78</v>
      </c>
      <c r="E68" s="3" t="s">
        <v>437</v>
      </c>
      <c r="F68" s="3" t="s">
        <v>23</v>
      </c>
      <c r="G68" s="3">
        <v>1745</v>
      </c>
      <c r="H68" s="3" t="s">
        <v>80</v>
      </c>
      <c r="I68" s="3" t="s">
        <v>438</v>
      </c>
      <c r="J68" s="3"/>
      <c r="K68" s="3" t="s">
        <v>26</v>
      </c>
      <c r="L68" s="3" t="s">
        <v>446</v>
      </c>
      <c r="M68" s="3" t="s">
        <v>453</v>
      </c>
      <c r="N68" s="3"/>
      <c r="O68" s="3"/>
      <c r="P68" s="3" t="s">
        <v>460</v>
      </c>
      <c r="Q68" s="3"/>
    </row>
    <row r="69" spans="1:18" s="5" customFormat="1" ht="27.6">
      <c r="A69" s="4" t="s">
        <v>467</v>
      </c>
      <c r="B69" s="4" t="s">
        <v>19</v>
      </c>
      <c r="C69" s="4" t="s">
        <v>20</v>
      </c>
      <c r="D69" s="4" t="s">
        <v>287</v>
      </c>
      <c r="E69" s="4" t="s">
        <v>210</v>
      </c>
      <c r="F69" s="3" t="s">
        <v>23</v>
      </c>
      <c r="G69" s="4">
        <v>1745</v>
      </c>
      <c r="H69" s="4" t="s">
        <v>59</v>
      </c>
      <c r="I69" s="4" t="s">
        <v>468</v>
      </c>
      <c r="J69" s="4"/>
      <c r="K69" s="4" t="s">
        <v>130</v>
      </c>
      <c r="L69" s="3" t="s">
        <v>473</v>
      </c>
      <c r="M69" s="3" t="s">
        <v>477</v>
      </c>
      <c r="N69" s="4"/>
      <c r="O69" s="4"/>
      <c r="P69" s="3" t="s">
        <v>480</v>
      </c>
      <c r="Q69" s="4"/>
    </row>
    <row r="70" spans="1:18" ht="55.2">
      <c r="A70" s="4" t="s">
        <v>469</v>
      </c>
      <c r="B70" s="4" t="s">
        <v>19</v>
      </c>
      <c r="C70" s="4" t="s">
        <v>20</v>
      </c>
      <c r="D70" s="4" t="s">
        <v>121</v>
      </c>
      <c r="E70" s="4" t="s">
        <v>210</v>
      </c>
      <c r="F70" s="3" t="s">
        <v>50</v>
      </c>
      <c r="G70" s="4">
        <v>1730</v>
      </c>
      <c r="H70" s="4" t="s">
        <v>123</v>
      </c>
      <c r="I70" s="4" t="s">
        <v>211</v>
      </c>
      <c r="J70" s="4"/>
      <c r="K70" s="4" t="s">
        <v>242</v>
      </c>
      <c r="L70" s="3" t="s">
        <v>474</v>
      </c>
      <c r="M70" s="3" t="s">
        <v>478</v>
      </c>
      <c r="N70" s="4"/>
      <c r="O70" s="4"/>
      <c r="P70" s="3" t="s">
        <v>481</v>
      </c>
      <c r="Q70" s="4"/>
      <c r="R70" s="5"/>
    </row>
    <row r="71" spans="1:18" s="3" customFormat="1" ht="41.4">
      <c r="A71" s="4" t="s">
        <v>470</v>
      </c>
      <c r="B71" s="8"/>
      <c r="K71" s="3" t="s">
        <v>26</v>
      </c>
      <c r="L71" s="3" t="s">
        <v>475</v>
      </c>
      <c r="M71" s="3" t="s">
        <v>479</v>
      </c>
      <c r="P71" s="3" t="s">
        <v>482</v>
      </c>
    </row>
    <row r="72" spans="1:18" s="7" customFormat="1" ht="41.4">
      <c r="A72" s="4" t="s">
        <v>471</v>
      </c>
      <c r="B72" s="9" t="s">
        <v>19</v>
      </c>
      <c r="C72" s="6"/>
      <c r="D72" s="6" t="s">
        <v>497</v>
      </c>
      <c r="E72" s="6"/>
      <c r="F72" s="6">
        <v>380</v>
      </c>
      <c r="G72" s="6">
        <v>892</v>
      </c>
      <c r="H72" s="6" t="s">
        <v>498</v>
      </c>
      <c r="I72" s="6" t="s">
        <v>472</v>
      </c>
      <c r="J72" s="6"/>
      <c r="K72" s="6" t="s">
        <v>130</v>
      </c>
      <c r="L72" s="3" t="s">
        <v>476</v>
      </c>
      <c r="M72" s="3" t="s">
        <v>489</v>
      </c>
      <c r="N72" s="6"/>
      <c r="O72" s="6"/>
      <c r="P72" s="3" t="s">
        <v>491</v>
      </c>
      <c r="Q72" s="6"/>
    </row>
    <row r="73" spans="1:18" s="3" customFormat="1" ht="27.6">
      <c r="A73" s="4" t="s">
        <v>483</v>
      </c>
      <c r="B73" s="8" t="s">
        <v>484</v>
      </c>
      <c r="C73" s="3" t="str">
        <f>CONCATENATE("MOTOREDUTOR"," ",TabelaEquipamentos[[#This Row],[Fabricante]])</f>
        <v>MOTOREDUTOR GEREMIA</v>
      </c>
      <c r="D73" s="3" t="s">
        <v>499</v>
      </c>
      <c r="F73" s="3">
        <v>220</v>
      </c>
      <c r="K73" s="3" t="s">
        <v>485</v>
      </c>
      <c r="L73" s="3" t="s">
        <v>487</v>
      </c>
      <c r="M73" s="3" t="s">
        <v>490</v>
      </c>
      <c r="O73" s="3" t="s">
        <v>494</v>
      </c>
      <c r="P73" s="3" t="s">
        <v>492</v>
      </c>
    </row>
    <row r="74" spans="1:18" s="6" customFormat="1" ht="69">
      <c r="A74" s="4" t="s">
        <v>486</v>
      </c>
      <c r="B74" s="9" t="s">
        <v>503</v>
      </c>
      <c r="C74" s="6" t="s">
        <v>20</v>
      </c>
      <c r="D74" s="6" t="s">
        <v>287</v>
      </c>
      <c r="E74" s="6" t="s">
        <v>288</v>
      </c>
      <c r="F74" s="6" t="s">
        <v>41</v>
      </c>
      <c r="G74" s="6">
        <v>3470</v>
      </c>
      <c r="H74" s="6" t="s">
        <v>59</v>
      </c>
      <c r="I74" s="6" t="s">
        <v>124</v>
      </c>
      <c r="K74" s="6" t="s">
        <v>233</v>
      </c>
      <c r="L74" s="3" t="s">
        <v>488</v>
      </c>
      <c r="P74" s="3" t="s">
        <v>493</v>
      </c>
    </row>
    <row r="75" spans="1:18" s="3" customFormat="1" ht="27.6">
      <c r="A75" s="4" t="s">
        <v>496</v>
      </c>
      <c r="B75" s="8" t="s">
        <v>19</v>
      </c>
      <c r="C75" s="3" t="s">
        <v>20</v>
      </c>
      <c r="K75" s="3" t="s">
        <v>495</v>
      </c>
      <c r="L75" s="3" t="s">
        <v>500</v>
      </c>
      <c r="M75" s="3" t="s">
        <v>501</v>
      </c>
      <c r="P75" s="3" t="s">
        <v>502</v>
      </c>
    </row>
    <row r="76" spans="1:18" s="6" customFormat="1"/>
    <row r="77" spans="1:18" s="3" customFormat="1"/>
    <row r="78" spans="1:18" s="6" customFormat="1"/>
    <row r="79" spans="1:18" s="3" customFormat="1"/>
    <row r="80" spans="1:18" s="6" customFormat="1" ht="13.2" customHeight="1"/>
    <row r="81" spans="13:13" s="3" customFormat="1"/>
    <row r="82" spans="13:13" s="6" customFormat="1"/>
    <row r="83" spans="13:13" s="3" customFormat="1"/>
    <row r="84" spans="13:13" s="6" customFormat="1"/>
    <row r="85" spans="13:13" s="3" customFormat="1"/>
    <row r="86" spans="13:13" s="6" customFormat="1"/>
    <row r="87" spans="13:13" s="3" customFormat="1"/>
    <row r="89" spans="13:13">
      <c r="M89" s="2" t="s">
        <v>331</v>
      </c>
    </row>
  </sheetData>
  <conditionalFormatting sqref="B71 B73:B1048576">
    <cfRule type="duplicateValues" dxfId="3" priority="14"/>
  </conditionalFormatting>
  <conditionalFormatting sqref="R1">
    <cfRule type="duplicateValues" dxfId="2" priority="15"/>
  </conditionalFormatting>
  <conditionalFormatting sqref="R2:R75">
    <cfRule type="duplicateValues" dxfId="1" priority="26"/>
  </conditionalFormatting>
  <conditionalFormatting sqref="R72">
    <cfRule type="duplicateValues" dxfId="0" priority="1"/>
  </conditionalFormatting>
  <pageMargins left="0.70866141732283472" right="0.70866141732283472" top="0.74803149606299213" bottom="0.74803149606299213" header="0.31496062992125978" footer="0.31496062992125978"/>
  <pageSetup paperSize="9" scale="47" orientation="landscape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selection sqref="A1:B1"/>
    </sheetView>
  </sheetViews>
  <sheetFormatPr defaultRowHeight="13.8"/>
  <cols>
    <col min="1" max="1" width="66.09765625" customWidth="1"/>
    <col min="2" max="2" width="80" customWidth="1"/>
  </cols>
  <sheetData>
    <row r="1" spans="1:2">
      <c r="A1" s="10" t="s">
        <v>332</v>
      </c>
      <c r="B1" s="11"/>
    </row>
    <row r="3" spans="1:2">
      <c r="A3" t="s">
        <v>333</v>
      </c>
      <c r="B3" t="s">
        <v>334</v>
      </c>
    </row>
    <row r="4" spans="1:2">
      <c r="A4" t="s">
        <v>335</v>
      </c>
      <c r="B4" t="s">
        <v>336</v>
      </c>
    </row>
    <row r="5" spans="1:2">
      <c r="A5" t="s">
        <v>337</v>
      </c>
      <c r="B5" t="s">
        <v>338</v>
      </c>
    </row>
    <row r="6" spans="1:2">
      <c r="A6" t="s">
        <v>339</v>
      </c>
      <c r="B6" t="s">
        <v>340</v>
      </c>
    </row>
    <row r="7" spans="1:2">
      <c r="A7" t="s">
        <v>341</v>
      </c>
      <c r="B7" t="s">
        <v>342</v>
      </c>
    </row>
    <row r="8" spans="1:2">
      <c r="A8" t="s">
        <v>343</v>
      </c>
      <c r="B8" t="s">
        <v>344</v>
      </c>
    </row>
    <row r="9" spans="1:2">
      <c r="A9" t="s">
        <v>345</v>
      </c>
      <c r="B9" t="s">
        <v>346</v>
      </c>
    </row>
    <row r="10" spans="1:2">
      <c r="A10" t="s">
        <v>347</v>
      </c>
      <c r="B10" t="s">
        <v>348</v>
      </c>
    </row>
    <row r="12" spans="1:2">
      <c r="A12" t="s">
        <v>349</v>
      </c>
    </row>
    <row r="13" spans="1:2">
      <c r="A13" t="s">
        <v>350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Equipamentos</vt:lpstr>
      <vt:lpstr>Instrucoes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Santiago</dc:creator>
  <cp:lastModifiedBy>auxiliar administrativo</cp:lastModifiedBy>
  <cp:lastPrinted>2026-06-23T11:09:47Z</cp:lastPrinted>
  <dcterms:created xsi:type="dcterms:W3CDTF">2026-06-09T19:30:54Z</dcterms:created>
  <dcterms:modified xsi:type="dcterms:W3CDTF">2026-10-30T12:01:15Z</dcterms:modified>
</cp:coreProperties>
</file>